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opez\github\IDB\accessibility_platform\results\presentacion_BID\"/>
    </mc:Choice>
  </mc:AlternateContent>
  <xr:revisionPtr revIDLastSave="0" documentId="13_ncr:1_{4B51BCF1-DD3C-46F8-855B-7679FEE2327B}" xr6:coauthVersionLast="47" xr6:coauthVersionMax="47" xr10:uidLastSave="{00000000-0000-0000-0000-000000000000}"/>
  <bookViews>
    <workbookView xWindow="-98" yWindow="-98" windowWidth="21795" windowHeight="12975" firstSheet="1" activeTab="3" xr2:uid="{00000000-000D-0000-FFFF-FFFF00000000}"/>
  </bookViews>
  <sheets>
    <sheet name="Coverage Assessment" sheetId="1" state="hidden" r:id="rId1"/>
    <sheet name="F-geo" sheetId="3" r:id="rId2"/>
    <sheet name="F-cov" sheetId="4" r:id="rId3"/>
    <sheet name="Summary" sheetId="2" r:id="rId4"/>
  </sheets>
  <definedNames>
    <definedName name="_xlnm._FilterDatabase" localSheetId="2" hidden="1">'F-cov'!$E$99:$K$99</definedName>
    <definedName name="_xlnm._FilterDatabase" localSheetId="1" hidden="1">'F-geo'!$A$1:$D$1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4" l="1"/>
  <c r="N27" i="4"/>
  <c r="M28" i="4"/>
  <c r="N28" i="4"/>
  <c r="M29" i="4"/>
  <c r="N29" i="4"/>
  <c r="M30" i="4"/>
  <c r="N30" i="4"/>
  <c r="M31" i="4"/>
  <c r="N31" i="4"/>
  <c r="M32" i="4"/>
  <c r="N32" i="4"/>
  <c r="M33" i="4"/>
  <c r="N33" i="4"/>
  <c r="M34" i="4"/>
  <c r="N34" i="4"/>
  <c r="M35" i="4"/>
  <c r="N35" i="4"/>
  <c r="M36" i="4"/>
  <c r="N36" i="4"/>
  <c r="M37" i="4"/>
  <c r="N37" i="4"/>
  <c r="M38" i="4"/>
  <c r="N38" i="4"/>
  <c r="M39" i="4"/>
  <c r="N39" i="4"/>
  <c r="M40" i="4"/>
  <c r="N40" i="4"/>
  <c r="M41" i="4"/>
  <c r="N41" i="4"/>
  <c r="M42" i="4"/>
  <c r="N42" i="4"/>
  <c r="M43" i="4"/>
  <c r="N43" i="4"/>
  <c r="M44" i="4"/>
  <c r="N44" i="4"/>
  <c r="M45" i="4"/>
  <c r="N45" i="4"/>
  <c r="M46" i="4"/>
  <c r="N46" i="4"/>
  <c r="N26" i="4"/>
  <c r="M26" i="4"/>
  <c r="I25" i="2"/>
  <c r="G25" i="2"/>
  <c r="C25" i="2"/>
  <c r="D25" i="2" s="1"/>
  <c r="B25" i="2"/>
  <c r="R24" i="2"/>
  <c r="Q24" i="2"/>
  <c r="P24" i="2"/>
  <c r="O24" i="2"/>
  <c r="N24" i="2"/>
  <c r="J24" i="2"/>
  <c r="H24" i="2"/>
  <c r="D24" i="2"/>
  <c r="R23" i="2"/>
  <c r="O23" i="2"/>
  <c r="J23" i="2"/>
  <c r="H23" i="2"/>
  <c r="D23" i="2"/>
  <c r="R22" i="2"/>
  <c r="Q22" i="2"/>
  <c r="O22" i="2"/>
  <c r="J22" i="2"/>
  <c r="H22" i="2"/>
  <c r="D22" i="2"/>
  <c r="R21" i="2"/>
  <c r="O21" i="2"/>
  <c r="J21" i="2"/>
  <c r="H21" i="2"/>
  <c r="D21" i="2"/>
  <c r="R20" i="2"/>
  <c r="Q20" i="2"/>
  <c r="P20" i="2"/>
  <c r="O20" i="2"/>
  <c r="N20" i="2"/>
  <c r="J20" i="2"/>
  <c r="H20" i="2"/>
  <c r="D20" i="2"/>
  <c r="R19" i="2"/>
  <c r="Q19" i="2"/>
  <c r="O19" i="2"/>
  <c r="J19" i="2"/>
  <c r="H19" i="2"/>
  <c r="D19" i="2"/>
  <c r="R18" i="2"/>
  <c r="Q18" i="2"/>
  <c r="P18" i="2"/>
  <c r="N18" i="2"/>
  <c r="O18" i="2" s="1"/>
  <c r="J18" i="2"/>
  <c r="H18" i="2"/>
  <c r="D18" i="2"/>
  <c r="R17" i="2"/>
  <c r="Q17" i="2"/>
  <c r="P17" i="2"/>
  <c r="O17" i="2"/>
  <c r="J17" i="2"/>
  <c r="D17" i="2"/>
  <c r="O16" i="2"/>
  <c r="J16" i="2"/>
  <c r="H16" i="2"/>
  <c r="F16" i="2"/>
  <c r="F25" i="2" s="1"/>
  <c r="E16" i="2"/>
  <c r="E25" i="2" s="1"/>
  <c r="D16" i="2"/>
  <c r="O15" i="2"/>
  <c r="J15" i="2"/>
  <c r="H15" i="2"/>
  <c r="D15" i="2"/>
  <c r="R14" i="2"/>
  <c r="Q14" i="2"/>
  <c r="N14" i="2"/>
  <c r="O14" i="2" s="1"/>
  <c r="J14" i="2"/>
  <c r="H14" i="2"/>
  <c r="D14" i="2"/>
  <c r="R13" i="2"/>
  <c r="Q13" i="2"/>
  <c r="O13" i="2"/>
  <c r="J13" i="2"/>
  <c r="H13" i="2"/>
  <c r="D13" i="2"/>
  <c r="Q12" i="2"/>
  <c r="P12" i="2"/>
  <c r="O12" i="2"/>
  <c r="N12" i="2"/>
  <c r="R12" i="2" s="1"/>
  <c r="J12" i="2"/>
  <c r="H12" i="2"/>
  <c r="D12" i="2"/>
  <c r="R11" i="2"/>
  <c r="Q11" i="2"/>
  <c r="O11" i="2"/>
  <c r="J11" i="2"/>
  <c r="H11" i="2"/>
  <c r="D11" i="2"/>
  <c r="R10" i="2"/>
  <c r="Q10" i="2"/>
  <c r="O10" i="2"/>
  <c r="N10" i="2"/>
  <c r="J10" i="2"/>
  <c r="H10" i="2"/>
  <c r="D10" i="2"/>
  <c r="R9" i="2"/>
  <c r="P9" i="2"/>
  <c r="Q9" i="2" s="1"/>
  <c r="O9" i="2"/>
  <c r="J9" i="2"/>
  <c r="H9" i="2"/>
  <c r="D9" i="2"/>
  <c r="R8" i="2"/>
  <c r="Q8" i="2"/>
  <c r="P8" i="2"/>
  <c r="N8" i="2"/>
  <c r="N25" i="2" s="1"/>
  <c r="J8" i="2"/>
  <c r="H8" i="2"/>
  <c r="D8" i="2"/>
  <c r="R7" i="2"/>
  <c r="Q7" i="2"/>
  <c r="O7" i="2"/>
  <c r="J7" i="2"/>
  <c r="H7" i="2"/>
  <c r="D7" i="2"/>
  <c r="R6" i="2"/>
  <c r="Q6" i="2"/>
  <c r="O6" i="2"/>
  <c r="J6" i="2"/>
  <c r="H6" i="2"/>
  <c r="D6" i="2"/>
  <c r="R5" i="2"/>
  <c r="Q5" i="2"/>
  <c r="O5" i="2"/>
  <c r="J5" i="2"/>
  <c r="H5" i="2"/>
  <c r="D5" i="2"/>
  <c r="R4" i="2"/>
  <c r="Q4" i="2"/>
  <c r="O4" i="2"/>
  <c r="J4" i="2"/>
  <c r="H4" i="2"/>
  <c r="D4" i="2"/>
  <c r="F112" i="4"/>
  <c r="F14" i="4"/>
  <c r="E14" i="4"/>
  <c r="O9" i="4"/>
  <c r="O5" i="4"/>
  <c r="K101" i="4"/>
  <c r="K113" i="4"/>
  <c r="K119" i="4"/>
  <c r="K100" i="4"/>
  <c r="K110" i="4"/>
  <c r="K117" i="4"/>
  <c r="K107" i="4"/>
  <c r="K111" i="4"/>
  <c r="K114" i="4"/>
  <c r="K115" i="4"/>
  <c r="K112" i="4"/>
  <c r="K120" i="4"/>
  <c r="K106" i="4"/>
  <c r="K118" i="4"/>
  <c r="K108" i="4"/>
  <c r="K105" i="4"/>
  <c r="K116" i="4"/>
  <c r="O25" i="2" l="1"/>
  <c r="J25" i="2"/>
  <c r="O8" i="2"/>
  <c r="K35" i="4"/>
  <c r="K36" i="4"/>
  <c r="K37" i="4"/>
  <c r="G47" i="4"/>
  <c r="H47" i="4"/>
  <c r="J47" i="4" s="1"/>
  <c r="K47" i="4" s="1"/>
  <c r="J27" i="4"/>
  <c r="K27" i="4" s="1"/>
  <c r="J28" i="4"/>
  <c r="K28" i="4" s="1"/>
  <c r="J29" i="4"/>
  <c r="K29" i="4" s="1"/>
  <c r="J30" i="4"/>
  <c r="K30" i="4" s="1"/>
  <c r="J31" i="4"/>
  <c r="K31" i="4" s="1"/>
  <c r="J32" i="4"/>
  <c r="K32" i="4" s="1"/>
  <c r="J33" i="4"/>
  <c r="K33" i="4" s="1"/>
  <c r="J34" i="4"/>
  <c r="K34" i="4" s="1"/>
  <c r="J35" i="4"/>
  <c r="J36" i="4"/>
  <c r="J37" i="4"/>
  <c r="J39" i="4"/>
  <c r="K39" i="4" s="1"/>
  <c r="J40" i="4"/>
  <c r="K40" i="4" s="1"/>
  <c r="J38" i="4"/>
  <c r="K38" i="4" s="1"/>
  <c r="J41" i="4"/>
  <c r="K41" i="4" s="1"/>
  <c r="J42" i="4"/>
  <c r="K42" i="4" s="1"/>
  <c r="J43" i="4"/>
  <c r="K43" i="4" s="1"/>
  <c r="J44" i="4"/>
  <c r="K44" i="4" s="1"/>
  <c r="J45" i="4"/>
  <c r="K45" i="4" s="1"/>
  <c r="J46" i="4"/>
  <c r="K46" i="4" s="1"/>
  <c r="J26" i="4"/>
  <c r="K26" i="4" s="1"/>
  <c r="I27" i="4"/>
  <c r="I28" i="4"/>
  <c r="I29" i="4"/>
  <c r="I30" i="4"/>
  <c r="I31" i="4"/>
  <c r="I32" i="4"/>
  <c r="I33" i="4"/>
  <c r="I34" i="4"/>
  <c r="I35" i="4"/>
  <c r="I36" i="4"/>
  <c r="I37" i="4"/>
  <c r="I39" i="4"/>
  <c r="I40" i="4"/>
  <c r="I38" i="4"/>
  <c r="I41" i="4"/>
  <c r="I42" i="4"/>
  <c r="I43" i="4"/>
  <c r="I44" i="4"/>
  <c r="I45" i="4"/>
  <c r="I46" i="4"/>
  <c r="I26" i="4"/>
  <c r="F47" i="4"/>
  <c r="E47" i="4"/>
  <c r="G23" i="4"/>
  <c r="H3" i="4"/>
  <c r="H4" i="4"/>
  <c r="H5" i="4"/>
  <c r="H6" i="4"/>
  <c r="H7" i="4"/>
  <c r="H8" i="4"/>
  <c r="H9" i="4"/>
  <c r="H10" i="4"/>
  <c r="H11" i="4"/>
  <c r="H12" i="4"/>
  <c r="H13" i="4"/>
  <c r="H14" i="4"/>
  <c r="H16" i="4"/>
  <c r="H17" i="4"/>
  <c r="H18" i="4"/>
  <c r="H19" i="4"/>
  <c r="H20" i="4"/>
  <c r="H21" i="4"/>
  <c r="H22" i="4"/>
  <c r="H2" i="4"/>
  <c r="N12" i="4"/>
  <c r="R12" i="4" s="1"/>
  <c r="N10" i="4"/>
  <c r="R10" i="4" s="1"/>
  <c r="P10" i="4"/>
  <c r="Q10" i="4" s="1"/>
  <c r="R5" i="4"/>
  <c r="P16" i="4"/>
  <c r="Q16" i="4" s="1"/>
  <c r="N16" i="4"/>
  <c r="R16" i="4"/>
  <c r="R3" i="4"/>
  <c r="R4" i="4"/>
  <c r="R7" i="4"/>
  <c r="R9" i="4"/>
  <c r="R11" i="4"/>
  <c r="R15" i="4"/>
  <c r="R17" i="4"/>
  <c r="R19" i="4"/>
  <c r="R20" i="4"/>
  <c r="R2" i="4"/>
  <c r="O2" i="4"/>
  <c r="Q3" i="4"/>
  <c r="Q4" i="4"/>
  <c r="Q5" i="4"/>
  <c r="Q8" i="4"/>
  <c r="Q9" i="4"/>
  <c r="Q11" i="4"/>
  <c r="Q12" i="4"/>
  <c r="Q17" i="4"/>
  <c r="Q20" i="4"/>
  <c r="Q2" i="4"/>
  <c r="P7" i="4"/>
  <c r="Q7" i="4" s="1"/>
  <c r="C23" i="4"/>
  <c r="E23" i="4"/>
  <c r="I23" i="4"/>
  <c r="B23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O3" i="4"/>
  <c r="D2" i="4"/>
  <c r="P15" i="4"/>
  <c r="M47" i="4" l="1"/>
  <c r="N47" i="4"/>
  <c r="I47" i="4"/>
  <c r="Q15" i="4"/>
  <c r="F23" i="4"/>
  <c r="J23" i="4"/>
  <c r="D23" i="4"/>
  <c r="P6" i="4"/>
  <c r="Q6" i="4" s="1"/>
  <c r="N6" i="4"/>
  <c r="R6" i="4" s="1"/>
  <c r="O6" i="4" l="1"/>
  <c r="N8" i="4"/>
  <c r="P22" i="4"/>
  <c r="Q22" i="4" s="1"/>
  <c r="N22" i="4"/>
  <c r="R22" i="4" s="1"/>
  <c r="R21" i="4"/>
  <c r="P18" i="4"/>
  <c r="Q18" i="4" s="1"/>
  <c r="N18" i="4"/>
  <c r="R18" i="4" s="1"/>
  <c r="O4" i="4"/>
  <c r="O7" i="4"/>
  <c r="O10" i="4"/>
  <c r="O11" i="4"/>
  <c r="O12" i="4"/>
  <c r="O13" i="4"/>
  <c r="O14" i="4"/>
  <c r="O15" i="4"/>
  <c r="O16" i="4"/>
  <c r="O17" i="4"/>
  <c r="O19" i="4"/>
  <c r="O20" i="4"/>
  <c r="R8" i="4" l="1"/>
  <c r="N23" i="4"/>
  <c r="O23" i="4" s="1"/>
  <c r="O18" i="4"/>
  <c r="O21" i="4"/>
  <c r="O22" i="4"/>
  <c r="O8" i="4"/>
</calcChain>
</file>

<file path=xl/sharedStrings.xml><?xml version="1.0" encoding="utf-8"?>
<sst xmlns="http://schemas.openxmlformats.org/spreadsheetml/2006/main" count="409" uniqueCount="128">
  <si>
    <t>country_iso</t>
  </si>
  <si>
    <t>data_year</t>
  </si>
  <si>
    <t>sector_scope</t>
  </si>
  <si>
    <t>n_schools_in_file</t>
  </si>
  <si>
    <t>n_georef</t>
  </si>
  <si>
    <t>n_missing_coords</t>
  </si>
  <si>
    <t>pct_georef</t>
  </si>
  <si>
    <t>public_universe</t>
  </si>
  <si>
    <t>total_universe_est</t>
  </si>
  <si>
    <t>pct_coverage_vs_public</t>
  </si>
  <si>
    <t>pct_coverage_vs_total</t>
  </si>
  <si>
    <t>file_exists</t>
  </si>
  <si>
    <t>has_private</t>
  </si>
  <si>
    <t>private_gap_flag</t>
  </si>
  <si>
    <t>assessment_notes</t>
  </si>
  <si>
    <t>ARG</t>
  </si>
  <si>
    <t>public</t>
  </si>
  <si>
    <t>SOURCE: raw/6831-Listado establecimientos.csv. Filter: comun=='X' (regular education) &amp; cueanexo ends in '00' (main annexes). Total=45,000 main regular establishments; sector=1(estatal)=33,945, sector=2(privado)=10,670, sector=3(cooperativa)=385.</t>
  </si>
  <si>
    <t>BHS</t>
  </si>
  <si>
    <t>SOURCE: raw/bhs_schools_shp/bhs_schools.shp. 77 school POIs — government directory only (no private schools in file). True universe likely larger; file appears to be public schools only.</t>
  </si>
  <si>
    <t>BLZ</t>
  </si>
  <si>
    <t>public+aided</t>
  </si>
  <si>
    <t>SOURCE: raw/geo_schools Belize.xlsx. 303 schools, all classified as Government (74) or Government Aided (224) or Specially Assisted (5). No private schools in file — file is public/aided only. Script applies no sector filter.</t>
  </si>
  <si>
    <t>BOL</t>
  </si>
  <si>
    <t>SOURCE: raw/MinEdu_InstitucionesEducativas_2023.xlsx (skip=7). Filter: sub_sistema=='Regular'. Total=16,159 unique codigo_R.U.E. (school registry codes). Each RUE is one school (multiple RUEs can share the same edificio/building). dependencia: Fiscal=14,198, Convenio=1,130, Comunitaria=1, Privada=830. Public (Fiscal+Convenio+Comunitaria)=15,329; Private (Privada)=830 RUE codes.</t>
  </si>
  <si>
    <t>BRA</t>
  </si>
  <si>
    <t>SOURCE: raw/microdados_censo_escolar_2023/dados/microdados_ed_basica_2023.csv. Filter: tp_situacao_funcionamento==1 (active). Total active=180,230. tp_dependencia: 1(Federal)=725, 2(Estadual)=33,546, 3(Municipal)=130,709, 4(Privada)=52,645. Public (dep 1-3)=137,914; Private=42,316 active schools. 17,876 public schools lack coordinates (13.3%% — largest gap in LAC).</t>
  </si>
  <si>
    <t>BRB</t>
  </si>
  <si>
    <t>unknown</t>
  </si>
  <si>
    <t>SOURCE: raw/Barbados Geolocalización Escuelas 2024.xlsx. 106 records — no sector column in file. Likely government schools only. CRITICAL: processed file has NO lat/lon column — zero coordinates. Needs fixing.</t>
  </si>
  <si>
    <t>CHL</t>
  </si>
  <si>
    <t>public+subvencionado</t>
  </si>
  <si>
    <t>SOURCE: raw/20230912_Directorio_Oficial_EE_2023_20230430_WEB.csv. Total=16,659 unique RBDs in official directory. cod_depe: 1(Municipal)=1,149, 2(Part.Subvencionado)=4,846, 3(Part.Pagado)=7,631, 4(Corp.Delegada)=2,114, 5(JUNAEB)=70, 6(SLE)=849. Script joins directorio to enrollment (filter cod_depe!=4), yielding 7,895. Truly public (dep 1+6)=1,998; Subvencionado (dep 2, state-funded private)=4,846.</t>
  </si>
  <si>
    <t>COL</t>
  </si>
  <si>
    <t>SOURCE: raw/DANE_2023/Carátula única de la sede educativa.csv. Filter: estado_id!=0 &amp; novedad_id==9 (active, no outstanding issues). Total=50,866 active sedes. sector_id=1(Oficial/public)=42,846; sector_id=2(Privado)=8,020.</t>
  </si>
  <si>
    <t>CRI</t>
  </si>
  <si>
    <t>SOURCE: raw/NominaCentrosEducativos2024.xlsx (sheets: Preescolar, I y II Ciclos, Colegios). Filter: circuito not null (enrolled schools). Total=5,268 across sheets. dependencia: PUB=4,504, PRI=724, SUB=40. Script filters to PUB only.</t>
  </si>
  <si>
    <t>DOM</t>
  </si>
  <si>
    <t>SOURCE: raw/RTz-8sq-centros-educativos-2023-2024.csv. Filter: año==20232024 (most recent year). Total=10,615 centros. sector: PÚBLICO=7,760, PRIVADO=2,722, SEMIOFICIAL=133. Public+semiofficial=7,893. R script used 2022-2023 data (7,735 all public).</t>
  </si>
  <si>
    <t>ECU</t>
  </si>
  <si>
    <t>SOURCE: raw/2_MINEDUC_RegistrosAdministrativos_2024-2025Inicio.csv. Filter: Tipo Educación=='Ordinaria'. Total Ordinaria=15,706 schools (AMIE unique). Sostenimiento: Fiscal=12,167, Particular=2,939, Fiscomisional=496, Municipal=104. Public (non-Particular)=12,767. Script filters sostenimie!='Particular'.</t>
  </si>
  <si>
    <t>GTM</t>
  </si>
  <si>
    <t>SOURCE: raw/sire_2024_filtrado/sire_2024_filtrado.shp (DBF). Filter: situacion=='ABIERTA'. Total active=35,501 unique school codes. sector: OFICIAL=34,915, COOPERATIVA=1,242, MUNICIPAL=319, PRIVADO=4. NOTE: file is already pre-filtered (name='filtrado'); full SIRE with private is larger. Script filters sector!='PRIVADO'; non-private active=35,497.</t>
  </si>
  <si>
    <t>GUY</t>
  </si>
  <si>
    <t>SOURCE: raw/School Data-Mapping.xlsx. Filter: type!='SEND' (exclude special needs). Total non-SEND=874 schools. type values: P(Primary)=347, N(Nursery)=328, S(Secondary)=115, PT(Post-primary)=84. No private schools in file — appears to be government schools only.</t>
  </si>
  <si>
    <t>HND</t>
  </si>
  <si>
    <t>SOURCE: raw/SIPLIE_nivel nacional.xlsx (sheet='Detalle', skip=7). Filter: nivel!='Básica - Adultos'. Total=17,438 rows → 17,428 unique school codes. SIPLIE is the government school information system — covers public schools only. Private schools are not registered in SIPLIE.</t>
  </si>
  <si>
    <t>HTI</t>
  </si>
  <si>
    <t>SOURCE: raw/hti_schools_shp/ (OSM planet points). OSM file has 5,284 school points — but this is INCOMPLETE. Raw ministry file haiti-2022-cartographie-des-institutions-scolaires.xls could not be read (requires xlrd for .xls format). Known figure: Haiti has ~15,000-18,000 schools (MENFP), ~80-90%% private. CRITICAL: 0%% platform coverage. Highest-priority country for processing.</t>
  </si>
  <si>
    <t>JAM</t>
  </si>
  <si>
    <t>SOURCE: Processed file only — JAM_script.qmd is an empty placeholder. No raw ministry frame available in repository. 955 schools in processed file (estimated public only). True universe: ~1,050-1,200 total (including ~100+ private). Needs raw data and proper R script to establish reliable universe.</t>
  </si>
  <si>
    <t>MEX</t>
  </si>
  <si>
    <t>SOURCE: raw/siged_total.csv. Filter: nivel in [PREESCOLAR, PRIMARIA, SECUNDARIA, MEDIA SUPERIOR]. Total K-12 levels=243,842. control: PÚBLICO=209,629, PRIVADO=34,213. Script R: filter(nivel in target &amp; control=='PÚBLICO'). INICIAL(4,992) + LICENCIATURA(6,478) + POSGRADO(4,387) excluded from count.</t>
  </si>
  <si>
    <t>PAN</t>
  </si>
  <si>
    <t>SOURCE: raw/Marco muestral 19 DE JUNIO 2024.xlsx (skip=3). Filter: marco_muestral=='SUBSISTEMA REGULAR'. Total regular=3,660. dependencia: OFICIAL=3,135, PARTICULAR=525. R script adds: oferta_2023!='NO ESPECIFICADO' &amp; estatus!='IPHE' → 3,092 OFICIAL. Full PAN_all_schools.geojson (pilot) has 3,617 incl. private with centroid fallback.</t>
  </si>
  <si>
    <t>PER</t>
  </si>
  <si>
    <t>SOURCE: raw/Padron.csv (sep=';', encoding=latin-1). Filter: niv_mod in ['A2','A3','B0','F0'] (preschool/primary/secondary levels). Total target levels=88,019 unique cod_mod (school×annex codes). d_gestion: Pública directa=64,207, Privada=22,764, Pública gestión privada=1,059. Public (non-Privada)=65,266. Padron year 2024 per file.</t>
  </si>
  <si>
    <t>PRY</t>
  </si>
  <si>
    <t>SOURCE: raw/establecimientos_2023.csv (geographic registry, primary universe). Total=8,847 unique school codes (all registered schools). Sector from raw/matriculaciones_*.csv join: Oficial=6,648, Privado=606, Privado Subvencionado=564, No enrollment match=1,029. Public (non-Privado, incl. NA/no enrollment match)=8,241. Processed file (8,162) = schools with both geographic registry AND enrollment data.</t>
  </si>
  <si>
    <t>SLV</t>
  </si>
  <si>
    <t>SOURCE: raw/SLV_coord_EDU.csv (for sector breakdown) + CE_2024 El Salvador.xlsx. SLV_coord has 6,026 schools: Público=5,143, Privado=883. CE_2024 has 5,160 rows (active enrollment file — sector filter commented out in script). Script currently includes all in CE_2024 (no sector filter applied). WARNING: ~883 private schools may be included in processed output.</t>
  </si>
  <si>
    <t>SUR</t>
  </si>
  <si>
    <t>public+private</t>
  </si>
  <si>
    <t>SOURCE: raw/Suriname School List_03202024.xlsx. Filter: education_level does not contain 'special' (removes 25 special ed schools). Total non-special=958. School_type: O.S.(public)=335, RKBO/EBGS/religious=618, Particulier(private)=5. Script includes all non-special including Particulier.</t>
  </si>
  <si>
    <t>URY</t>
  </si>
  <si>
    <t>SOURCE: raw/CEIP/CEIP.shp + raw/CES/CES.shp + raw/CETP/CETP.shp. CEIP (primary): 2,183 total → 2,104 non-special-education. CES (secondary): 319 total → 307 with valid RUEE code. CETP (technical): 186 total. Combined=2,597. All are ANEP (national public education system) — no private schools in dataset.</t>
  </si>
  <si>
    <t>LAC School Data — External Validity Summary</t>
  </si>
  <si>
    <t>Georreferenciados</t>
  </si>
  <si>
    <t>No georreferenciados</t>
  </si>
  <si>
    <t>Pais</t>
  </si>
  <si>
    <t>Total</t>
  </si>
  <si>
    <t>%</t>
  </si>
  <si>
    <t>El total incluye inicial, primaria y secundaria</t>
  </si>
  <si>
    <t>El total incluye SOLO primaria y secundaria</t>
  </si>
  <si>
    <t>El total incluye SOLO primaria y secundari, chequear si la base tiene educacion General / vocacional</t>
  </si>
  <si>
    <t>Total inferido del documento:https://www.anep.edu.uy/monitorRepo/Documentos2024/PresEstSitua2024.pdf</t>
  </si>
  <si>
    <t>2024-2026</t>
  </si>
  <si>
    <t>Marco total</t>
  </si>
  <si>
    <t>Marco Publico</t>
  </si>
  <si>
    <t>Ano Marco</t>
  </si>
  <si>
    <t>% geor</t>
  </si>
  <si>
    <t>El total incluye SOLO primaria y secundaria. https://seie.minedu.gob.bo/reportes/tablas/modulo/d2</t>
  </si>
  <si>
    <t>El total incluye SOLO primaria y secundaria. https://mes.gov.bb/Welcome-Stamp/Public-Primary-Schools-in-Barbados.aspx</t>
  </si>
  <si>
    <t>El total incluye SOLO primaria y secundaria https://escale.minedu.gob.pe/magnitudes/</t>
  </si>
  <si>
    <t>El total incluye SOLO primaria (ninos) y secundaria (ciclo basico y diversificado ) https://estadistica.mineduc.gob.gt/anuario/home.html#</t>
  </si>
  <si>
    <t>No hay informacion mas actualizada publica. Solo incluye primaria y secundaria https://moey.gov.jm/wp-content/uploads/2020/05/Directory-of-Educational-Institutions-2018-19-1.pdf hay esta plataforma pero jumm https://goj.maps.arcgis.com/apps/dashboards/89c081e4357f4f0b9cea6077e0f37025</t>
  </si>
  <si>
    <t>ISO_Total</t>
  </si>
  <si>
    <t>ISO_Total Georreferenciada</t>
  </si>
  <si>
    <t>Raw_file Georreferndiada</t>
  </si>
  <si>
    <t>ISO</t>
  </si>
  <si>
    <t>Dirección</t>
  </si>
  <si>
    <t>Nivel subnacional</t>
  </si>
  <si>
    <t>Sí</t>
  </si>
  <si>
    <t>Departamento (ADM2)</t>
  </si>
  <si>
    <t>No</t>
  </si>
  <si>
    <t>Distrito</t>
  </si>
  <si>
    <t>Municipio (ADM3)</t>
  </si>
  <si>
    <t>Município (ADM2)</t>
  </si>
  <si>
    <t>Parish (ADM1)</t>
  </si>
  <si>
    <t>Comuna (ADM2)</t>
  </si>
  <si>
    <t>Municipio (ADM2)</t>
  </si>
  <si>
    <t>Distrito (ADM3)</t>
  </si>
  <si>
    <t>Parroquia (ADM3)</t>
  </si>
  <si>
    <t>Región (ADM1)</t>
  </si>
  <si>
    <t>Corregimiento (ADM3)</t>
  </si>
  <si>
    <t>Distrito (ADM2)</t>
  </si>
  <si>
    <t>Localidad (ADM3)</t>
  </si>
  <si>
    <t xml:space="preserve">Raw_file publica + priv k12 </t>
  </si>
  <si>
    <t>Raw_file publica</t>
  </si>
  <si>
    <t>Raw_file privada</t>
  </si>
  <si>
    <t>ano raw</t>
  </si>
  <si>
    <t>2023-2024</t>
  </si>
  <si>
    <t>Marco vs raw</t>
  </si>
  <si>
    <t xml:space="preserve">El total incluye SOLO primaria y secundaria. </t>
  </si>
  <si>
    <t>El total incluye SOLO  primaria y secundaria media superior</t>
  </si>
  <si>
    <t>El total incluye primaria y secundaria se le resta educacion para adultos y colegios solo para inicial</t>
  </si>
  <si>
    <t>El total incluye SOLO primaria y secundaria https://www.mep.go.cr/acerca-del-mep/analisis-estadistico/estadisticas-educativas</t>
  </si>
  <si>
    <t>% matricula priv</t>
  </si>
  <si>
    <t>Notas Marco</t>
  </si>
  <si>
    <t>Publica</t>
  </si>
  <si>
    <t>Privada</t>
  </si>
  <si>
    <t>Geocodificada</t>
  </si>
  <si>
    <t>No geocodificada</t>
  </si>
  <si>
    <t>publicas</t>
  </si>
  <si>
    <t>privadas</t>
  </si>
  <si>
    <t>Marco privado</t>
  </si>
  <si>
    <t>publica</t>
  </si>
  <si>
    <t>privada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</si>
</sst>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FE0E0"/>
      </patternFill>
    </fill>
    <fill>
      <patternFill patternType="solid">
        <fgColor rgb="FFFFB3B3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8">
    <xf numFmtId="0" fontId="0" fillId="0" borderId="0" xfId="0"/>
    <xf numFmtId="0" fontId="1" fillId="2" borderId="0" xfId="0" applyFont="1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6" borderId="0" xfId="0" applyFill="1"/>
    <xf numFmtId="0" fontId="0" fillId="5" borderId="0" xfId="0" applyFill="1"/>
    <xf numFmtId="0" fontId="0" fillId="7" borderId="0" xfId="0" applyFill="1"/>
    <xf numFmtId="0" fontId="2" fillId="0" borderId="0" xfId="0" applyFont="1"/>
    <xf numFmtId="167" fontId="0" fillId="0" borderId="0" xfId="0" applyNumberFormat="1"/>
    <xf numFmtId="3" fontId="0" fillId="0" borderId="0" xfId="0" applyNumberFormat="1"/>
    <xf numFmtId="1" fontId="0" fillId="0" borderId="0" xfId="0" applyNumberFormat="1"/>
    <xf numFmtId="0" fontId="5" fillId="0" borderId="0" xfId="0" applyFont="1"/>
    <xf numFmtId="1" fontId="0" fillId="0" borderId="0" xfId="0" applyNumberFormat="1" applyAlignment="1">
      <alignment horizontal="center"/>
    </xf>
    <xf numFmtId="0" fontId="7" fillId="2" borderId="0" xfId="0" applyFont="1" applyFill="1" applyAlignment="1">
      <alignment horizontal="center" wrapText="1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12" borderId="0" xfId="0" applyFont="1" applyFill="1" applyAlignment="1">
      <alignment horizontal="center"/>
    </xf>
    <xf numFmtId="3" fontId="6" fillId="12" borderId="0" xfId="0" applyNumberFormat="1" applyFont="1" applyFill="1" applyAlignment="1">
      <alignment horizontal="center"/>
    </xf>
    <xf numFmtId="167" fontId="6" fillId="0" borderId="0" xfId="0" applyNumberFormat="1" applyFont="1" applyAlignment="1">
      <alignment horizontal="center"/>
    </xf>
    <xf numFmtId="3" fontId="6" fillId="13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7" fontId="6" fillId="8" borderId="0" xfId="0" applyNumberFormat="1" applyFont="1" applyFill="1" applyBorder="1" applyAlignment="1">
      <alignment horizontal="center"/>
    </xf>
    <xf numFmtId="167" fontId="6" fillId="0" borderId="0" xfId="0" applyNumberFormat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2" xfId="0" applyFont="1" applyBorder="1"/>
    <xf numFmtId="167" fontId="8" fillId="8" borderId="0" xfId="0" applyNumberFormat="1" applyFont="1" applyFill="1" applyBorder="1" applyAlignment="1">
      <alignment horizontal="center"/>
    </xf>
    <xf numFmtId="167" fontId="8" fillId="0" borderId="0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167" fontId="6" fillId="10" borderId="0" xfId="0" applyNumberFormat="1" applyFont="1" applyFill="1" applyBorder="1" applyAlignment="1">
      <alignment horizontal="center"/>
    </xf>
    <xf numFmtId="167" fontId="9" fillId="14" borderId="0" xfId="0" applyNumberFormat="1" applyFont="1" applyFill="1" applyBorder="1" applyAlignment="1">
      <alignment horizontal="center"/>
    </xf>
    <xf numFmtId="167" fontId="9" fillId="0" borderId="0" xfId="0" applyNumberFormat="1" applyFont="1" applyFill="1" applyBorder="1" applyAlignment="1">
      <alignment horizontal="center"/>
    </xf>
    <xf numFmtId="167" fontId="6" fillId="14" borderId="0" xfId="0" applyNumberFormat="1" applyFont="1" applyFill="1" applyBorder="1" applyAlignment="1">
      <alignment horizontal="center"/>
    </xf>
    <xf numFmtId="167" fontId="9" fillId="8" borderId="0" xfId="0" applyNumberFormat="1" applyFont="1" applyFill="1" applyBorder="1" applyAlignment="1">
      <alignment horizontal="center"/>
    </xf>
    <xf numFmtId="0" fontId="10" fillId="0" borderId="0" xfId="1" applyFont="1" applyBorder="1" applyAlignment="1">
      <alignment horizontal="center"/>
    </xf>
    <xf numFmtId="167" fontId="6" fillId="11" borderId="0" xfId="0" applyNumberFormat="1" applyFont="1" applyFill="1" applyBorder="1" applyAlignment="1">
      <alignment horizontal="center"/>
    </xf>
    <xf numFmtId="167" fontId="6" fillId="9" borderId="0" xfId="0" applyNumberFormat="1" applyFont="1" applyFill="1" applyBorder="1" applyAlignment="1">
      <alignment horizontal="center"/>
    </xf>
    <xf numFmtId="167" fontId="0" fillId="9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7" fontId="6" fillId="9" borderId="4" xfId="0" applyNumberFormat="1" applyFont="1" applyFill="1" applyBorder="1" applyAlignment="1">
      <alignment horizontal="center"/>
    </xf>
    <xf numFmtId="1" fontId="6" fillId="0" borderId="4" xfId="0" applyNumberFormat="1" applyFont="1" applyFill="1" applyBorder="1" applyAlignment="1">
      <alignment horizontal="center"/>
    </xf>
    <xf numFmtId="167" fontId="6" fillId="0" borderId="4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5" xfId="0" applyFont="1" applyBorder="1"/>
    <xf numFmtId="0" fontId="7" fillId="13" borderId="6" xfId="0" applyFont="1" applyFill="1" applyBorder="1" applyAlignment="1">
      <alignment horizontal="center" wrapText="1"/>
    </xf>
    <xf numFmtId="0" fontId="7" fillId="13" borderId="7" xfId="0" applyFont="1" applyFill="1" applyBorder="1" applyAlignment="1">
      <alignment horizontal="center" wrapText="1"/>
    </xf>
    <xf numFmtId="0" fontId="7" fillId="13" borderId="8" xfId="0" applyFont="1" applyFill="1" applyBorder="1" applyAlignment="1">
      <alignment horizontal="center" wrapText="1"/>
    </xf>
    <xf numFmtId="0" fontId="7" fillId="15" borderId="9" xfId="0" applyFont="1" applyFill="1" applyBorder="1" applyAlignment="1">
      <alignment horizontal="center" wrapText="1"/>
    </xf>
    <xf numFmtId="1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3" fontId="5" fillId="0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167" fontId="5" fillId="0" borderId="1" xfId="0" applyNumberFormat="1" applyFont="1" applyFill="1" applyBorder="1" applyAlignment="1">
      <alignment horizontal="center"/>
    </xf>
    <xf numFmtId="167" fontId="5" fillId="0" borderId="3" xfId="0" applyNumberFormat="1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'F-geo'!$B$1</c:f>
              <c:strCache>
                <c:ptCount val="1"/>
                <c:pt idx="0">
                  <c:v>Georreferenciados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'F-geo'!$A$2:$A$14</c:f>
              <c:strCache>
                <c:ptCount val="13"/>
                <c:pt idx="0">
                  <c:v>BRB</c:v>
                </c:pt>
                <c:pt idx="1">
                  <c:v>BLZ</c:v>
                </c:pt>
                <c:pt idx="2">
                  <c:v>SUR</c:v>
                </c:pt>
                <c:pt idx="3">
                  <c:v>GUY</c:v>
                </c:pt>
                <c:pt idx="4">
                  <c:v>JAM</c:v>
                </c:pt>
                <c:pt idx="5">
                  <c:v>URY</c:v>
                </c:pt>
                <c:pt idx="6">
                  <c:v>PAN</c:v>
                </c:pt>
                <c:pt idx="7">
                  <c:v>CRI</c:v>
                </c:pt>
                <c:pt idx="8">
                  <c:v>SLV</c:v>
                </c:pt>
                <c:pt idx="9">
                  <c:v>ECU</c:v>
                </c:pt>
                <c:pt idx="10">
                  <c:v>DOM</c:v>
                </c:pt>
                <c:pt idx="11">
                  <c:v>CHL</c:v>
                </c:pt>
                <c:pt idx="12">
                  <c:v>PRY</c:v>
                </c:pt>
              </c:strCache>
            </c:strRef>
          </c:cat>
          <c:val>
            <c:numRef>
              <c:f>'F-geo'!$B$2:$B$14</c:f>
              <c:numCache>
                <c:formatCode>General</c:formatCode>
                <c:ptCount val="13"/>
                <c:pt idx="0">
                  <c:v>0</c:v>
                </c:pt>
                <c:pt idx="1">
                  <c:v>303</c:v>
                </c:pt>
                <c:pt idx="2">
                  <c:v>547</c:v>
                </c:pt>
                <c:pt idx="3">
                  <c:v>874</c:v>
                </c:pt>
                <c:pt idx="4">
                  <c:v>953</c:v>
                </c:pt>
                <c:pt idx="5">
                  <c:v>2597</c:v>
                </c:pt>
                <c:pt idx="6">
                  <c:v>3107</c:v>
                </c:pt>
                <c:pt idx="7">
                  <c:v>4381</c:v>
                </c:pt>
                <c:pt idx="8">
                  <c:v>5093</c:v>
                </c:pt>
                <c:pt idx="9">
                  <c:v>6357</c:v>
                </c:pt>
                <c:pt idx="10">
                  <c:v>6294</c:v>
                </c:pt>
                <c:pt idx="11">
                  <c:v>7895</c:v>
                </c:pt>
                <c:pt idx="12">
                  <c:v>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5-4D50-832D-B4DF36C67BEF}"/>
            </c:ext>
          </c:extLst>
        </c:ser>
        <c:ser>
          <c:idx val="1"/>
          <c:order val="1"/>
          <c:tx>
            <c:strRef>
              <c:f>'F-geo'!$C$1</c:f>
              <c:strCache>
                <c:ptCount val="1"/>
                <c:pt idx="0">
                  <c:v>No georreferenciados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'F-geo'!$A$2:$A$14</c:f>
              <c:strCache>
                <c:ptCount val="13"/>
                <c:pt idx="0">
                  <c:v>BRB</c:v>
                </c:pt>
                <c:pt idx="1">
                  <c:v>BLZ</c:v>
                </c:pt>
                <c:pt idx="2">
                  <c:v>SUR</c:v>
                </c:pt>
                <c:pt idx="3">
                  <c:v>GUY</c:v>
                </c:pt>
                <c:pt idx="4">
                  <c:v>JAM</c:v>
                </c:pt>
                <c:pt idx="5">
                  <c:v>URY</c:v>
                </c:pt>
                <c:pt idx="6">
                  <c:v>PAN</c:v>
                </c:pt>
                <c:pt idx="7">
                  <c:v>CRI</c:v>
                </c:pt>
                <c:pt idx="8">
                  <c:v>SLV</c:v>
                </c:pt>
                <c:pt idx="9">
                  <c:v>ECU</c:v>
                </c:pt>
                <c:pt idx="10">
                  <c:v>DOM</c:v>
                </c:pt>
                <c:pt idx="11">
                  <c:v>CHL</c:v>
                </c:pt>
                <c:pt idx="12">
                  <c:v>PRY</c:v>
                </c:pt>
              </c:strCache>
            </c:strRef>
          </c:cat>
          <c:val>
            <c:numRef>
              <c:f>'F-geo'!$C$2:$C$14</c:f>
              <c:numCache>
                <c:formatCode>General</c:formatCode>
                <c:ptCount val="13"/>
                <c:pt idx="0">
                  <c:v>106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25</c:v>
                </c:pt>
                <c:pt idx="7">
                  <c:v>37</c:v>
                </c:pt>
                <c:pt idx="8">
                  <c:v>67</c:v>
                </c:pt>
                <c:pt idx="9">
                  <c:v>25</c:v>
                </c:pt>
                <c:pt idx="10">
                  <c:v>305</c:v>
                </c:pt>
                <c:pt idx="11">
                  <c:v>0</c:v>
                </c:pt>
                <c:pt idx="1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85-4D50-832D-B4DF36C67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2572048"/>
        <c:axId val="1532566288"/>
      </c:barChart>
      <c:catAx>
        <c:axId val="153257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566288"/>
        <c:crosses val="autoZero"/>
        <c:auto val="1"/>
        <c:lblAlgn val="ctr"/>
        <c:lblOffset val="100"/>
        <c:noMultiLvlLbl val="0"/>
      </c:catAx>
      <c:valAx>
        <c:axId val="153256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57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'F-geo'!$B$1</c:f>
              <c:strCache>
                <c:ptCount val="1"/>
                <c:pt idx="0">
                  <c:v>Georreferenciados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'F-geo'!$A$15:$A$22</c:f>
              <c:strCache>
                <c:ptCount val="8"/>
                <c:pt idx="0">
                  <c:v>BOL</c:v>
                </c:pt>
                <c:pt idx="1">
                  <c:v>HND</c:v>
                </c:pt>
                <c:pt idx="2">
                  <c:v>ARG</c:v>
                </c:pt>
                <c:pt idx="3">
                  <c:v>GTM</c:v>
                </c:pt>
                <c:pt idx="4">
                  <c:v>COL</c:v>
                </c:pt>
                <c:pt idx="5">
                  <c:v>PER</c:v>
                </c:pt>
                <c:pt idx="6">
                  <c:v>BRA</c:v>
                </c:pt>
                <c:pt idx="7">
                  <c:v>MEX</c:v>
                </c:pt>
              </c:strCache>
            </c:strRef>
          </c:cat>
          <c:val>
            <c:numRef>
              <c:f>'F-geo'!$B$15:$B$22</c:f>
              <c:numCache>
                <c:formatCode>General</c:formatCode>
                <c:ptCount val="8"/>
                <c:pt idx="0">
                  <c:v>15301</c:v>
                </c:pt>
                <c:pt idx="1">
                  <c:v>16234</c:v>
                </c:pt>
                <c:pt idx="2">
                  <c:v>34167</c:v>
                </c:pt>
                <c:pt idx="3">
                  <c:v>35973</c:v>
                </c:pt>
                <c:pt idx="4">
                  <c:v>43259</c:v>
                </c:pt>
                <c:pt idx="5">
                  <c:v>69142</c:v>
                </c:pt>
                <c:pt idx="6">
                  <c:v>116542</c:v>
                </c:pt>
                <c:pt idx="7">
                  <c:v>205848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6A-4F1F-924F-93AFBD749711}"/>
            </c:ext>
          </c:extLst>
        </c:ser>
        <c:ser>
          <c:idx val="1"/>
          <c:order val="1"/>
          <c:tx>
            <c:strRef>
              <c:f>'F-geo'!$C$1</c:f>
              <c:strCache>
                <c:ptCount val="1"/>
                <c:pt idx="0">
                  <c:v>No georreferenciados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'F-geo'!$A$15:$A$22</c:f>
              <c:strCache>
                <c:ptCount val="8"/>
                <c:pt idx="0">
                  <c:v>BOL</c:v>
                </c:pt>
                <c:pt idx="1">
                  <c:v>HND</c:v>
                </c:pt>
                <c:pt idx="2">
                  <c:v>ARG</c:v>
                </c:pt>
                <c:pt idx="3">
                  <c:v>GTM</c:v>
                </c:pt>
                <c:pt idx="4">
                  <c:v>COL</c:v>
                </c:pt>
                <c:pt idx="5">
                  <c:v>PER</c:v>
                </c:pt>
                <c:pt idx="6">
                  <c:v>BRA</c:v>
                </c:pt>
                <c:pt idx="7">
                  <c:v>MEX</c:v>
                </c:pt>
              </c:strCache>
            </c:strRef>
          </c:cat>
          <c:val>
            <c:numRef>
              <c:f>'F-geo'!$C$15:$C$22</c:f>
              <c:numCache>
                <c:formatCode>General</c:formatCode>
                <c:ptCount val="8"/>
                <c:pt idx="0">
                  <c:v>28</c:v>
                </c:pt>
                <c:pt idx="1">
                  <c:v>721</c:v>
                </c:pt>
                <c:pt idx="2">
                  <c:v>1469</c:v>
                </c:pt>
                <c:pt idx="3">
                  <c:v>0</c:v>
                </c:pt>
                <c:pt idx="4">
                  <c:v>399</c:v>
                </c:pt>
                <c:pt idx="5">
                  <c:v>0</c:v>
                </c:pt>
                <c:pt idx="6">
                  <c:v>17876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6A-4F1F-924F-93AFBD749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2567728"/>
        <c:axId val="1532573008"/>
      </c:barChart>
      <c:catAx>
        <c:axId val="153256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573008"/>
        <c:crosses val="autoZero"/>
        <c:auto val="1"/>
        <c:lblAlgn val="ctr"/>
        <c:lblOffset val="100"/>
        <c:noMultiLvlLbl val="0"/>
      </c:catAx>
      <c:valAx>
        <c:axId val="153257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56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'F-cov'!$E$25</c:f>
              <c:strCache>
                <c:ptCount val="1"/>
                <c:pt idx="0">
                  <c:v>Publica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'F-cov'!$A$34:$A$41</c:f>
              <c:strCache>
                <c:ptCount val="8"/>
                <c:pt idx="0">
                  <c:v>SLV</c:v>
                </c:pt>
                <c:pt idx="1">
                  <c:v>PRY</c:v>
                </c:pt>
                <c:pt idx="2">
                  <c:v>CHL</c:v>
                </c:pt>
                <c:pt idx="3">
                  <c:v>DOM</c:v>
                </c:pt>
                <c:pt idx="4">
                  <c:v>HND</c:v>
                </c:pt>
                <c:pt idx="5">
                  <c:v>BOL</c:v>
                </c:pt>
                <c:pt idx="6">
                  <c:v>ECU</c:v>
                </c:pt>
                <c:pt idx="7">
                  <c:v>GTM</c:v>
                </c:pt>
              </c:strCache>
            </c:strRef>
          </c:cat>
          <c:val>
            <c:numRef>
              <c:f>'F-cov'!$E$34:$E$41</c:f>
              <c:numCache>
                <c:formatCode>General</c:formatCode>
                <c:ptCount val="8"/>
                <c:pt idx="0">
                  <c:v>4.88</c:v>
                </c:pt>
                <c:pt idx="1">
                  <c:v>7.0469999999999997</c:v>
                </c:pt>
                <c:pt idx="2">
                  <c:v>5.19</c:v>
                </c:pt>
                <c:pt idx="3">
                  <c:v>6.48</c:v>
                </c:pt>
                <c:pt idx="4">
                  <c:v>11.638</c:v>
                </c:pt>
                <c:pt idx="5">
                  <c:v>14.917999999999999</c:v>
                </c:pt>
                <c:pt idx="6">
                  <c:v>13.077</c:v>
                </c:pt>
                <c:pt idx="7">
                  <c:v>21.715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8-4D37-89D2-8EAF118F69AD}"/>
            </c:ext>
          </c:extLst>
        </c:ser>
        <c:ser>
          <c:idx val="1"/>
          <c:order val="1"/>
          <c:tx>
            <c:strRef>
              <c:f>'F-cov'!$F$25</c:f>
              <c:strCache>
                <c:ptCount val="1"/>
                <c:pt idx="0">
                  <c:v>Privada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'F-cov'!$A$34:$A$41</c:f>
              <c:strCache>
                <c:ptCount val="8"/>
                <c:pt idx="0">
                  <c:v>SLV</c:v>
                </c:pt>
                <c:pt idx="1">
                  <c:v>PRY</c:v>
                </c:pt>
                <c:pt idx="2">
                  <c:v>CHL</c:v>
                </c:pt>
                <c:pt idx="3">
                  <c:v>DOM</c:v>
                </c:pt>
                <c:pt idx="4">
                  <c:v>HND</c:v>
                </c:pt>
                <c:pt idx="5">
                  <c:v>BOL</c:v>
                </c:pt>
                <c:pt idx="6">
                  <c:v>ECU</c:v>
                </c:pt>
                <c:pt idx="7">
                  <c:v>GTM</c:v>
                </c:pt>
              </c:strCache>
            </c:strRef>
          </c:cat>
          <c:val>
            <c:numRef>
              <c:f>'F-cov'!$F$34:$F$41</c:f>
              <c:numCache>
                <c:formatCode>General</c:formatCode>
                <c:ptCount val="8"/>
                <c:pt idx="0">
                  <c:v>0.88300000000000001</c:v>
                </c:pt>
                <c:pt idx="1">
                  <c:v>0.58099999999999996</c:v>
                </c:pt>
                <c:pt idx="2">
                  <c:v>3.254</c:v>
                </c:pt>
                <c:pt idx="3">
                  <c:v>2.5</c:v>
                </c:pt>
                <c:pt idx="4">
                  <c:v>0</c:v>
                </c:pt>
                <c:pt idx="5">
                  <c:v>0.64600000000000002</c:v>
                </c:pt>
                <c:pt idx="6">
                  <c:v>3.1379999999999999</c:v>
                </c:pt>
                <c:pt idx="7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A8-4D37-89D2-8EAF118F6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9370640"/>
        <c:axId val="319371600"/>
      </c:barChart>
      <c:catAx>
        <c:axId val="31937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71600"/>
        <c:crosses val="autoZero"/>
        <c:auto val="1"/>
        <c:lblAlgn val="ctr"/>
        <c:lblOffset val="100"/>
        <c:noMultiLvlLbl val="0"/>
      </c:catAx>
      <c:valAx>
        <c:axId val="31937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7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'F-cov'!$E$25</c:f>
              <c:strCache>
                <c:ptCount val="1"/>
                <c:pt idx="0">
                  <c:v>Publica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'F-cov'!$A$42:$A$46</c:f>
              <c:strCache>
                <c:ptCount val="5"/>
                <c:pt idx="0">
                  <c:v>ARG</c:v>
                </c:pt>
                <c:pt idx="1">
                  <c:v>COL</c:v>
                </c:pt>
                <c:pt idx="2">
                  <c:v>PER</c:v>
                </c:pt>
                <c:pt idx="3">
                  <c:v>BRA</c:v>
                </c:pt>
                <c:pt idx="4">
                  <c:v>MEX</c:v>
                </c:pt>
              </c:strCache>
            </c:strRef>
          </c:cat>
          <c:val>
            <c:numRef>
              <c:f>'F-cov'!$E$42:$E$46</c:f>
              <c:numCache>
                <c:formatCode>General</c:formatCode>
                <c:ptCount val="5"/>
                <c:pt idx="0">
                  <c:v>27.952999999999999</c:v>
                </c:pt>
                <c:pt idx="1">
                  <c:v>42.537999999999997</c:v>
                </c:pt>
                <c:pt idx="2">
                  <c:v>40.152999999999999</c:v>
                </c:pt>
                <c:pt idx="3">
                  <c:v>104.11</c:v>
                </c:pt>
                <c:pt idx="4">
                  <c:v>135.83099999999999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5-454B-A7A0-C958907F2AB2}"/>
            </c:ext>
          </c:extLst>
        </c:ser>
        <c:ser>
          <c:idx val="1"/>
          <c:order val="1"/>
          <c:tx>
            <c:strRef>
              <c:f>'F-cov'!$F$25</c:f>
              <c:strCache>
                <c:ptCount val="1"/>
                <c:pt idx="0">
                  <c:v>Privada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'F-cov'!$A$42:$A$46</c:f>
              <c:strCache>
                <c:ptCount val="5"/>
                <c:pt idx="0">
                  <c:v>ARG</c:v>
                </c:pt>
                <c:pt idx="1">
                  <c:v>COL</c:v>
                </c:pt>
                <c:pt idx="2">
                  <c:v>PER</c:v>
                </c:pt>
                <c:pt idx="3">
                  <c:v>BRA</c:v>
                </c:pt>
                <c:pt idx="4">
                  <c:v>MEX</c:v>
                </c:pt>
              </c:strCache>
            </c:strRef>
          </c:cat>
          <c:val>
            <c:numRef>
              <c:f>'F-cov'!$F$42:$F$46</c:f>
              <c:numCache>
                <c:formatCode>General</c:formatCode>
                <c:ptCount val="5"/>
                <c:pt idx="0">
                  <c:v>7.415</c:v>
                </c:pt>
                <c:pt idx="1">
                  <c:v>5.6710000000000003</c:v>
                </c:pt>
                <c:pt idx="2">
                  <c:v>13.189</c:v>
                </c:pt>
                <c:pt idx="3">
                  <c:v>25.866</c:v>
                </c:pt>
                <c:pt idx="4">
                  <c:v>20.998999999999999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A5-454B-A7A0-C958907F2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9370640"/>
        <c:axId val="319371600"/>
      </c:barChart>
      <c:catAx>
        <c:axId val="31937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71600"/>
        <c:crosses val="autoZero"/>
        <c:auto val="1"/>
        <c:lblAlgn val="ctr"/>
        <c:lblOffset val="100"/>
        <c:noMultiLvlLbl val="0"/>
      </c:catAx>
      <c:valAx>
        <c:axId val="31937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7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'F-cov'!$E$25</c:f>
              <c:strCache>
                <c:ptCount val="1"/>
                <c:pt idx="0">
                  <c:v>Publica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'F-cov'!$A$26:$A$33</c:f>
              <c:strCache>
                <c:ptCount val="8"/>
                <c:pt idx="0">
                  <c:v>BRB</c:v>
                </c:pt>
                <c:pt idx="1">
                  <c:v>BLZ</c:v>
                </c:pt>
                <c:pt idx="2">
                  <c:v>GUY</c:v>
                </c:pt>
                <c:pt idx="3">
                  <c:v>SUR</c:v>
                </c:pt>
                <c:pt idx="4">
                  <c:v>JAM</c:v>
                </c:pt>
                <c:pt idx="5">
                  <c:v>URY</c:v>
                </c:pt>
                <c:pt idx="6">
                  <c:v>PAN</c:v>
                </c:pt>
                <c:pt idx="7">
                  <c:v>CRI</c:v>
                </c:pt>
              </c:strCache>
            </c:strRef>
          </c:cat>
          <c:val>
            <c:numRef>
              <c:f>'F-cov'!$E$26:$E$33</c:f>
              <c:numCache>
                <c:formatCode>General</c:formatCode>
                <c:ptCount val="8"/>
                <c:pt idx="0">
                  <c:v>9.4E-2</c:v>
                </c:pt>
                <c:pt idx="1">
                  <c:v>0.27300000000000002</c:v>
                </c:pt>
                <c:pt idx="2">
                  <c:v>0.54600000000000004</c:v>
                </c:pt>
                <c:pt idx="3">
                  <c:v>0.56699999999999995</c:v>
                </c:pt>
                <c:pt idx="4">
                  <c:v>0</c:v>
                </c:pt>
                <c:pt idx="5">
                  <c:v>2.6110000000000002</c:v>
                </c:pt>
                <c:pt idx="6">
                  <c:v>3.09</c:v>
                </c:pt>
                <c:pt idx="7">
                  <c:v>4.3499999999999996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0-4358-9D50-AD8D778E1386}"/>
            </c:ext>
          </c:extLst>
        </c:ser>
        <c:ser>
          <c:idx val="1"/>
          <c:order val="1"/>
          <c:tx>
            <c:strRef>
              <c:f>'F-cov'!$F$25</c:f>
              <c:strCache>
                <c:ptCount val="1"/>
                <c:pt idx="0">
                  <c:v>Privada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'F-cov'!$A$26:$A$33</c:f>
              <c:strCache>
                <c:ptCount val="8"/>
                <c:pt idx="0">
                  <c:v>BRB</c:v>
                </c:pt>
                <c:pt idx="1">
                  <c:v>BLZ</c:v>
                </c:pt>
                <c:pt idx="2">
                  <c:v>GUY</c:v>
                </c:pt>
                <c:pt idx="3">
                  <c:v>SUR</c:v>
                </c:pt>
                <c:pt idx="4">
                  <c:v>JAM</c:v>
                </c:pt>
                <c:pt idx="5">
                  <c:v>URY</c:v>
                </c:pt>
                <c:pt idx="6">
                  <c:v>PAN</c:v>
                </c:pt>
                <c:pt idx="7">
                  <c:v>CRI</c:v>
                </c:pt>
              </c:strCache>
            </c:strRef>
          </c:cat>
          <c:val>
            <c:numRef>
              <c:f>'F-cov'!$F$26:$F$33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5.0000000000000001E-3</c:v>
                </c:pt>
                <c:pt idx="4">
                  <c:v>0</c:v>
                </c:pt>
                <c:pt idx="5">
                  <c:v>0</c:v>
                </c:pt>
                <c:pt idx="6">
                  <c:v>0.52500000000000002</c:v>
                </c:pt>
                <c:pt idx="7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30-4358-9D50-AD8D778E1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9370640"/>
        <c:axId val="319371600"/>
      </c:barChart>
      <c:catAx>
        <c:axId val="31937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71600"/>
        <c:crosses val="autoZero"/>
        <c:auto val="1"/>
        <c:lblAlgn val="ctr"/>
        <c:lblOffset val="100"/>
        <c:noMultiLvlLbl val="0"/>
      </c:catAx>
      <c:valAx>
        <c:axId val="31937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Número - miles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7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'F-cov'!$H$25</c:f>
              <c:strCache>
                <c:ptCount val="1"/>
                <c:pt idx="0">
                  <c:v>Geocodificada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'F-cov'!$A$26:$A$33</c:f>
              <c:strCache>
                <c:ptCount val="8"/>
                <c:pt idx="0">
                  <c:v>BRB</c:v>
                </c:pt>
                <c:pt idx="1">
                  <c:v>BLZ</c:v>
                </c:pt>
                <c:pt idx="2">
                  <c:v>GUY</c:v>
                </c:pt>
                <c:pt idx="3">
                  <c:v>SUR</c:v>
                </c:pt>
                <c:pt idx="4">
                  <c:v>JAM</c:v>
                </c:pt>
                <c:pt idx="5">
                  <c:v>URY</c:v>
                </c:pt>
                <c:pt idx="6">
                  <c:v>PAN</c:v>
                </c:pt>
                <c:pt idx="7">
                  <c:v>CRI</c:v>
                </c:pt>
              </c:strCache>
            </c:strRef>
          </c:cat>
          <c:val>
            <c:numRef>
              <c:f>'F-cov'!$H$26:$H$33</c:f>
              <c:numCache>
                <c:formatCode>0.0</c:formatCode>
                <c:ptCount val="8"/>
                <c:pt idx="0">
                  <c:v>9.4E-2</c:v>
                </c:pt>
                <c:pt idx="1">
                  <c:v>0.27300000000000002</c:v>
                </c:pt>
                <c:pt idx="2">
                  <c:v>0.54500000000000004</c:v>
                </c:pt>
                <c:pt idx="3">
                  <c:v>0.57199999999999995</c:v>
                </c:pt>
                <c:pt idx="4">
                  <c:v>0.91200000000000003</c:v>
                </c:pt>
                <c:pt idx="5">
                  <c:v>2.6110000000000002</c:v>
                </c:pt>
                <c:pt idx="6">
                  <c:v>3.0680000000000001</c:v>
                </c:pt>
                <c:pt idx="7">
                  <c:v>4.2789999999999999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F-40E3-BCC1-2A9F65490D99}"/>
            </c:ext>
          </c:extLst>
        </c:ser>
        <c:ser>
          <c:idx val="1"/>
          <c:order val="1"/>
          <c:tx>
            <c:strRef>
              <c:f>'F-cov'!$I$25</c:f>
              <c:strCache>
                <c:ptCount val="1"/>
                <c:pt idx="0">
                  <c:v>No geocodificada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'F-cov'!$A$26:$A$33</c:f>
              <c:strCache>
                <c:ptCount val="8"/>
                <c:pt idx="0">
                  <c:v>BRB</c:v>
                </c:pt>
                <c:pt idx="1">
                  <c:v>BLZ</c:v>
                </c:pt>
                <c:pt idx="2">
                  <c:v>GUY</c:v>
                </c:pt>
                <c:pt idx="3">
                  <c:v>SUR</c:v>
                </c:pt>
                <c:pt idx="4">
                  <c:v>JAM</c:v>
                </c:pt>
                <c:pt idx="5">
                  <c:v>URY</c:v>
                </c:pt>
                <c:pt idx="6">
                  <c:v>PAN</c:v>
                </c:pt>
                <c:pt idx="7">
                  <c:v>CRI</c:v>
                </c:pt>
              </c:strCache>
            </c:strRef>
          </c:cat>
          <c:val>
            <c:numRef>
              <c:f>'F-cov'!$I$26:$I$33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1.0000000000000009E-3</c:v>
                </c:pt>
                <c:pt idx="3">
                  <c:v>0</c:v>
                </c:pt>
                <c:pt idx="4">
                  <c:v>2.0000000000000018E-3</c:v>
                </c:pt>
                <c:pt idx="5">
                  <c:v>0</c:v>
                </c:pt>
                <c:pt idx="6">
                  <c:v>0.54700000000000015</c:v>
                </c:pt>
                <c:pt idx="7">
                  <c:v>7.2000000000000064E-2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FF-40E3-BCC1-2A9F65490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9370640"/>
        <c:axId val="319371600"/>
      </c:barChart>
      <c:catAx>
        <c:axId val="31937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71600"/>
        <c:crosses val="autoZero"/>
        <c:auto val="1"/>
        <c:lblAlgn val="ctr"/>
        <c:lblOffset val="100"/>
        <c:noMultiLvlLbl val="0"/>
      </c:catAx>
      <c:valAx>
        <c:axId val="31937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Número</a:t>
                </a:r>
                <a:r>
                  <a:rPr lang="en-US" baseline="0"/>
                  <a:t> - miles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7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'F-cov'!$H$25</c:f>
              <c:strCache>
                <c:ptCount val="1"/>
                <c:pt idx="0">
                  <c:v>Geocodificada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'F-cov'!$A$34:$A$41</c:f>
              <c:strCache>
                <c:ptCount val="8"/>
                <c:pt idx="0">
                  <c:v>SLV</c:v>
                </c:pt>
                <c:pt idx="1">
                  <c:v>PRY</c:v>
                </c:pt>
                <c:pt idx="2">
                  <c:v>CHL</c:v>
                </c:pt>
                <c:pt idx="3">
                  <c:v>DOM</c:v>
                </c:pt>
                <c:pt idx="4">
                  <c:v>HND</c:v>
                </c:pt>
                <c:pt idx="5">
                  <c:v>BOL</c:v>
                </c:pt>
                <c:pt idx="6">
                  <c:v>ECU</c:v>
                </c:pt>
                <c:pt idx="7">
                  <c:v>GTM</c:v>
                </c:pt>
              </c:strCache>
            </c:strRef>
          </c:cat>
          <c:val>
            <c:numRef>
              <c:f>'F-cov'!$H$34:$H$41</c:f>
              <c:numCache>
                <c:formatCode>0.0</c:formatCode>
                <c:ptCount val="8"/>
                <c:pt idx="0">
                  <c:v>5.6369999999999996</c:v>
                </c:pt>
                <c:pt idx="1">
                  <c:v>7.2750000000000004</c:v>
                </c:pt>
                <c:pt idx="2">
                  <c:v>8.4380000000000006</c:v>
                </c:pt>
                <c:pt idx="3">
                  <c:v>6.2439999999999998</c:v>
                </c:pt>
                <c:pt idx="4">
                  <c:v>16.335999999999999</c:v>
                </c:pt>
                <c:pt idx="5">
                  <c:v>15.532999999999999</c:v>
                </c:pt>
                <c:pt idx="6">
                  <c:v>15.688000000000001</c:v>
                </c:pt>
                <c:pt idx="7">
                  <c:v>21.716999999999999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9-420F-9B85-C8288E1C33E1}"/>
            </c:ext>
          </c:extLst>
        </c:ser>
        <c:ser>
          <c:idx val="1"/>
          <c:order val="1"/>
          <c:tx>
            <c:strRef>
              <c:f>'F-cov'!$I$25</c:f>
              <c:strCache>
                <c:ptCount val="1"/>
                <c:pt idx="0">
                  <c:v>No geocodificada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'F-cov'!$A$34:$A$41</c:f>
              <c:strCache>
                <c:ptCount val="8"/>
                <c:pt idx="0">
                  <c:v>SLV</c:v>
                </c:pt>
                <c:pt idx="1">
                  <c:v>PRY</c:v>
                </c:pt>
                <c:pt idx="2">
                  <c:v>CHL</c:v>
                </c:pt>
                <c:pt idx="3">
                  <c:v>DOM</c:v>
                </c:pt>
                <c:pt idx="4">
                  <c:v>HND</c:v>
                </c:pt>
                <c:pt idx="5">
                  <c:v>BOL</c:v>
                </c:pt>
                <c:pt idx="6">
                  <c:v>ECU</c:v>
                </c:pt>
                <c:pt idx="7">
                  <c:v>GTM</c:v>
                </c:pt>
              </c:strCache>
            </c:strRef>
          </c:cat>
          <c:val>
            <c:numRef>
              <c:f>'F-cov'!$I$34:$I$41</c:f>
              <c:numCache>
                <c:formatCode>0.0</c:formatCode>
                <c:ptCount val="8"/>
                <c:pt idx="0">
                  <c:v>0.12600000000000033</c:v>
                </c:pt>
                <c:pt idx="1">
                  <c:v>0.35299999999999976</c:v>
                </c:pt>
                <c:pt idx="2">
                  <c:v>6.0000000000002274E-3</c:v>
                </c:pt>
                <c:pt idx="3">
                  <c:v>2.7360000000000007</c:v>
                </c:pt>
                <c:pt idx="4">
                  <c:v>-4.6979999999999986</c:v>
                </c:pt>
                <c:pt idx="5">
                  <c:v>3.1000000000000583E-2</c:v>
                </c:pt>
                <c:pt idx="6">
                  <c:v>0.52699999999999925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C9-420F-9B85-C8288E1C3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9370640"/>
        <c:axId val="319371600"/>
      </c:barChart>
      <c:catAx>
        <c:axId val="31937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71600"/>
        <c:crosses val="autoZero"/>
        <c:auto val="1"/>
        <c:lblAlgn val="ctr"/>
        <c:lblOffset val="100"/>
        <c:noMultiLvlLbl val="0"/>
      </c:catAx>
      <c:valAx>
        <c:axId val="31937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7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'F-cov'!$H$25</c:f>
              <c:strCache>
                <c:ptCount val="1"/>
                <c:pt idx="0">
                  <c:v>Geocodificada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'F-cov'!$A$42:$A$46</c:f>
              <c:strCache>
                <c:ptCount val="5"/>
                <c:pt idx="0">
                  <c:v>ARG</c:v>
                </c:pt>
                <c:pt idx="1">
                  <c:v>COL</c:v>
                </c:pt>
                <c:pt idx="2">
                  <c:v>PER</c:v>
                </c:pt>
                <c:pt idx="3">
                  <c:v>BRA</c:v>
                </c:pt>
                <c:pt idx="4">
                  <c:v>MEX</c:v>
                </c:pt>
              </c:strCache>
            </c:strRef>
          </c:cat>
          <c:val>
            <c:numRef>
              <c:f>'F-cov'!$H$42:$H$46</c:f>
              <c:numCache>
                <c:formatCode>0.0</c:formatCode>
                <c:ptCount val="5"/>
                <c:pt idx="0">
                  <c:v>34.393999999999998</c:v>
                </c:pt>
                <c:pt idx="1">
                  <c:v>47.587000000000003</c:v>
                </c:pt>
                <c:pt idx="2">
                  <c:v>53.341999999999999</c:v>
                </c:pt>
                <c:pt idx="3">
                  <c:v>103.07299999999999</c:v>
                </c:pt>
                <c:pt idx="4">
                  <c:v>156.83000000000001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4-43BC-B1EA-BBEE2F9D62D6}"/>
            </c:ext>
          </c:extLst>
        </c:ser>
        <c:ser>
          <c:idx val="1"/>
          <c:order val="1"/>
          <c:tx>
            <c:strRef>
              <c:f>'F-cov'!$I$25</c:f>
              <c:strCache>
                <c:ptCount val="1"/>
                <c:pt idx="0">
                  <c:v>No geocodificada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'F-cov'!$A$42:$A$46</c:f>
              <c:strCache>
                <c:ptCount val="5"/>
                <c:pt idx="0">
                  <c:v>ARG</c:v>
                </c:pt>
                <c:pt idx="1">
                  <c:v>COL</c:v>
                </c:pt>
                <c:pt idx="2">
                  <c:v>PER</c:v>
                </c:pt>
                <c:pt idx="3">
                  <c:v>BRA</c:v>
                </c:pt>
                <c:pt idx="4">
                  <c:v>MEX</c:v>
                </c:pt>
              </c:strCache>
            </c:strRef>
          </c:cat>
          <c:val>
            <c:numRef>
              <c:f>'F-cov'!$I$42:$I$46</c:f>
              <c:numCache>
                <c:formatCode>0.0</c:formatCode>
                <c:ptCount val="5"/>
                <c:pt idx="0">
                  <c:v>0.97400000000000375</c:v>
                </c:pt>
                <c:pt idx="1">
                  <c:v>0.62199999999999989</c:v>
                </c:pt>
                <c:pt idx="2">
                  <c:v>0</c:v>
                </c:pt>
                <c:pt idx="3">
                  <c:v>26.903000000000006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94-43BC-B1EA-BBEE2F9D6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9370640"/>
        <c:axId val="319371600"/>
      </c:barChart>
      <c:catAx>
        <c:axId val="31937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71600"/>
        <c:crosses val="autoZero"/>
        <c:auto val="1"/>
        <c:lblAlgn val="ctr"/>
        <c:lblOffset val="100"/>
        <c:noMultiLvlLbl val="0"/>
      </c:catAx>
      <c:valAx>
        <c:axId val="31937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7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'F-cov'!$E$72</c:f>
              <c:strCache>
                <c:ptCount val="1"/>
                <c:pt idx="0">
                  <c:v>Geocodificada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'F-cov'!$A$73:$A$93</c:f>
              <c:strCache>
                <c:ptCount val="21"/>
                <c:pt idx="0">
                  <c:v>DOM</c:v>
                </c:pt>
                <c:pt idx="1">
                  <c:v>BRA</c:v>
                </c:pt>
                <c:pt idx="2">
                  <c:v>PAN</c:v>
                </c:pt>
                <c:pt idx="3">
                  <c:v>PRY</c:v>
                </c:pt>
                <c:pt idx="4">
                  <c:v>HND</c:v>
                </c:pt>
                <c:pt idx="5">
                  <c:v>ECU</c:v>
                </c:pt>
                <c:pt idx="6">
                  <c:v>ARG</c:v>
                </c:pt>
                <c:pt idx="7">
                  <c:v>SLV</c:v>
                </c:pt>
                <c:pt idx="8">
                  <c:v>CRI</c:v>
                </c:pt>
                <c:pt idx="9">
                  <c:v>COL</c:v>
                </c:pt>
                <c:pt idx="10">
                  <c:v>JAM</c:v>
                </c:pt>
                <c:pt idx="11">
                  <c:v>BOL</c:v>
                </c:pt>
                <c:pt idx="12">
                  <c:v>GUY</c:v>
                </c:pt>
                <c:pt idx="13">
                  <c:v>CHL</c:v>
                </c:pt>
                <c:pt idx="14">
                  <c:v>BRB</c:v>
                </c:pt>
                <c:pt idx="15">
                  <c:v>BLZ</c:v>
                </c:pt>
                <c:pt idx="16">
                  <c:v>SUR</c:v>
                </c:pt>
                <c:pt idx="17">
                  <c:v>URY</c:v>
                </c:pt>
                <c:pt idx="18">
                  <c:v>GTM</c:v>
                </c:pt>
                <c:pt idx="19">
                  <c:v>PER</c:v>
                </c:pt>
                <c:pt idx="20">
                  <c:v>MEX</c:v>
                </c:pt>
              </c:strCache>
            </c:strRef>
          </c:cat>
          <c:val>
            <c:numRef>
              <c:f>'F-cov'!$E$73:$E$93</c:f>
              <c:numCache>
                <c:formatCode>0.0</c:formatCode>
                <c:ptCount val="21"/>
                <c:pt idx="0">
                  <c:v>69.532293986636958</c:v>
                </c:pt>
                <c:pt idx="1">
                  <c:v>79.301563365544396</c:v>
                </c:pt>
                <c:pt idx="2">
                  <c:v>84.868603042876899</c:v>
                </c:pt>
                <c:pt idx="3">
                  <c:v>95.372312532773989</c:v>
                </c:pt>
                <c:pt idx="4">
                  <c:v>96.514238449722328</c:v>
                </c:pt>
                <c:pt idx="5">
                  <c:v>96.74992291088499</c:v>
                </c:pt>
                <c:pt idx="6">
                  <c:v>97.246098167835328</c:v>
                </c:pt>
                <c:pt idx="7">
                  <c:v>97.813638729828213</c:v>
                </c:pt>
                <c:pt idx="8">
                  <c:v>98.345207998161342</c:v>
                </c:pt>
                <c:pt idx="9">
                  <c:v>98.709784480076337</c:v>
                </c:pt>
                <c:pt idx="10">
                  <c:v>99.781181619256017</c:v>
                </c:pt>
                <c:pt idx="11">
                  <c:v>99.800822410691339</c:v>
                </c:pt>
                <c:pt idx="12">
                  <c:v>99.81684981684981</c:v>
                </c:pt>
                <c:pt idx="13">
                  <c:v>99.928943628612032</c:v>
                </c:pt>
                <c:pt idx="14" formatCode="General">
                  <c:v>100</c:v>
                </c:pt>
                <c:pt idx="15" formatCode="General">
                  <c:v>100</c:v>
                </c:pt>
                <c:pt idx="16" formatCode="General">
                  <c:v>100</c:v>
                </c:pt>
                <c:pt idx="17" formatCode="General">
                  <c:v>100</c:v>
                </c:pt>
                <c:pt idx="18" formatCode="General">
                  <c:v>100</c:v>
                </c:pt>
                <c:pt idx="19" formatCode="General">
                  <c:v>100</c:v>
                </c:pt>
                <c:pt idx="20" formatCode="General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E-4D55-BEAC-B8E6E75B33C5}"/>
            </c:ext>
          </c:extLst>
        </c:ser>
        <c:ser>
          <c:idx val="1"/>
          <c:order val="1"/>
          <c:tx>
            <c:strRef>
              <c:f>'F-cov'!$F$72</c:f>
              <c:strCache>
                <c:ptCount val="1"/>
                <c:pt idx="0">
                  <c:v>No geocodificada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'F-cov'!$A$73:$A$93</c:f>
              <c:strCache>
                <c:ptCount val="21"/>
                <c:pt idx="0">
                  <c:v>DOM</c:v>
                </c:pt>
                <c:pt idx="1">
                  <c:v>BRA</c:v>
                </c:pt>
                <c:pt idx="2">
                  <c:v>PAN</c:v>
                </c:pt>
                <c:pt idx="3">
                  <c:v>PRY</c:v>
                </c:pt>
                <c:pt idx="4">
                  <c:v>HND</c:v>
                </c:pt>
                <c:pt idx="5">
                  <c:v>ECU</c:v>
                </c:pt>
                <c:pt idx="6">
                  <c:v>ARG</c:v>
                </c:pt>
                <c:pt idx="7">
                  <c:v>SLV</c:v>
                </c:pt>
                <c:pt idx="8">
                  <c:v>CRI</c:v>
                </c:pt>
                <c:pt idx="9">
                  <c:v>COL</c:v>
                </c:pt>
                <c:pt idx="10">
                  <c:v>JAM</c:v>
                </c:pt>
                <c:pt idx="11">
                  <c:v>BOL</c:v>
                </c:pt>
                <c:pt idx="12">
                  <c:v>GUY</c:v>
                </c:pt>
                <c:pt idx="13">
                  <c:v>CHL</c:v>
                </c:pt>
                <c:pt idx="14">
                  <c:v>BRB</c:v>
                </c:pt>
                <c:pt idx="15">
                  <c:v>BLZ</c:v>
                </c:pt>
                <c:pt idx="16">
                  <c:v>SUR</c:v>
                </c:pt>
                <c:pt idx="17">
                  <c:v>URY</c:v>
                </c:pt>
                <c:pt idx="18">
                  <c:v>GTM</c:v>
                </c:pt>
                <c:pt idx="19">
                  <c:v>PER</c:v>
                </c:pt>
                <c:pt idx="20">
                  <c:v>MEX</c:v>
                </c:pt>
              </c:strCache>
            </c:strRef>
          </c:cat>
          <c:val>
            <c:numRef>
              <c:f>'F-cov'!$F$73:$F$93</c:f>
              <c:numCache>
                <c:formatCode>0.0</c:formatCode>
                <c:ptCount val="21"/>
                <c:pt idx="0">
                  <c:v>30.467706013363042</c:v>
                </c:pt>
                <c:pt idx="1">
                  <c:v>20.698436634455604</c:v>
                </c:pt>
                <c:pt idx="2">
                  <c:v>15.131396957123101</c:v>
                </c:pt>
                <c:pt idx="3">
                  <c:v>4.6276874672260107</c:v>
                </c:pt>
                <c:pt idx="4">
                  <c:v>3.4857615502776724</c:v>
                </c:pt>
                <c:pt idx="5">
                  <c:v>3.2500770891150097</c:v>
                </c:pt>
                <c:pt idx="6">
                  <c:v>2.7539018321646722</c:v>
                </c:pt>
                <c:pt idx="7">
                  <c:v>2.1863612701717869</c:v>
                </c:pt>
                <c:pt idx="8">
                  <c:v>1.6547920018386577</c:v>
                </c:pt>
                <c:pt idx="9">
                  <c:v>1.2902155199236631</c:v>
                </c:pt>
                <c:pt idx="10">
                  <c:v>0.21881838074398274</c:v>
                </c:pt>
                <c:pt idx="11">
                  <c:v>0.19917758930866114</c:v>
                </c:pt>
                <c:pt idx="12">
                  <c:v>0.1831501831501896</c:v>
                </c:pt>
                <c:pt idx="13">
                  <c:v>7.1056371387967943E-2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BE-4D55-BEAC-B8E6E75B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4622368"/>
        <c:axId val="964632448"/>
      </c:barChart>
      <c:catAx>
        <c:axId val="964622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632448"/>
        <c:crosses val="autoZero"/>
        <c:auto val="1"/>
        <c:lblAlgn val="ctr"/>
        <c:lblOffset val="100"/>
        <c:noMultiLvlLbl val="0"/>
      </c:catAx>
      <c:valAx>
        <c:axId val="964632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62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'F-cov'!$H$99</c:f>
              <c:strCache>
                <c:ptCount val="1"/>
                <c:pt idx="0">
                  <c:v>Marco Publico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'F-cov'!$E$100:$E$107</c:f>
              <c:strCache>
                <c:ptCount val="8"/>
                <c:pt idx="0">
                  <c:v>BRB</c:v>
                </c:pt>
                <c:pt idx="1">
                  <c:v>BLZ</c:v>
                </c:pt>
                <c:pt idx="2">
                  <c:v>GUY</c:v>
                </c:pt>
                <c:pt idx="3">
                  <c:v>SUR</c:v>
                </c:pt>
                <c:pt idx="4">
                  <c:v>JAM</c:v>
                </c:pt>
                <c:pt idx="5">
                  <c:v>URY</c:v>
                </c:pt>
                <c:pt idx="6">
                  <c:v>PAN</c:v>
                </c:pt>
                <c:pt idx="7">
                  <c:v>CRI</c:v>
                </c:pt>
              </c:strCache>
            </c:strRef>
          </c:cat>
          <c:val>
            <c:numRef>
              <c:f>'F-cov'!$H$100:$H$107</c:f>
              <c:numCache>
                <c:formatCode>General</c:formatCode>
                <c:ptCount val="8"/>
                <c:pt idx="0">
                  <c:v>8.8999999999999996E-2</c:v>
                </c:pt>
                <c:pt idx="1">
                  <c:v>0.30599999999999999</c:v>
                </c:pt>
                <c:pt idx="5">
                  <c:v>2.57</c:v>
                </c:pt>
                <c:pt idx="6">
                  <c:v>3.09</c:v>
                </c:pt>
                <c:pt idx="7">
                  <c:v>4.266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9-49DB-AE92-8167FD61BACF}"/>
            </c:ext>
          </c:extLst>
        </c:ser>
        <c:ser>
          <c:idx val="1"/>
          <c:order val="1"/>
          <c:tx>
            <c:strRef>
              <c:f>'F-cov'!$I$99</c:f>
              <c:strCache>
                <c:ptCount val="1"/>
                <c:pt idx="0">
                  <c:v>Marco privado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'F-cov'!$E$100:$E$107</c:f>
              <c:strCache>
                <c:ptCount val="8"/>
                <c:pt idx="0">
                  <c:v>BRB</c:v>
                </c:pt>
                <c:pt idx="1">
                  <c:v>BLZ</c:v>
                </c:pt>
                <c:pt idx="2">
                  <c:v>GUY</c:v>
                </c:pt>
                <c:pt idx="3">
                  <c:v>SUR</c:v>
                </c:pt>
                <c:pt idx="4">
                  <c:v>JAM</c:v>
                </c:pt>
                <c:pt idx="5">
                  <c:v>URY</c:v>
                </c:pt>
                <c:pt idx="6">
                  <c:v>PAN</c:v>
                </c:pt>
                <c:pt idx="7">
                  <c:v>CRI</c:v>
                </c:pt>
              </c:strCache>
            </c:strRef>
          </c:cat>
          <c:val>
            <c:numRef>
              <c:f>'F-cov'!$I$100:$I$107</c:f>
              <c:numCache>
                <c:formatCode>General</c:formatCode>
                <c:ptCount val="8"/>
                <c:pt idx="0">
                  <c:v>0.04</c:v>
                </c:pt>
                <c:pt idx="1">
                  <c:v>7.5999999999999998E-2</c:v>
                </c:pt>
                <c:pt idx="5">
                  <c:v>0.56699999999999995</c:v>
                </c:pt>
                <c:pt idx="6">
                  <c:v>0.52500000000000002</c:v>
                </c:pt>
                <c:pt idx="7">
                  <c:v>0.60399999999999998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89-49DB-AE92-8167FD61B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911792"/>
        <c:axId val="628908912"/>
      </c:barChart>
      <c:catAx>
        <c:axId val="62891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908912"/>
        <c:crosses val="autoZero"/>
        <c:auto val="1"/>
        <c:lblAlgn val="ctr"/>
        <c:lblOffset val="100"/>
        <c:noMultiLvlLbl val="0"/>
      </c:catAx>
      <c:valAx>
        <c:axId val="62890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91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'F-cov'!$H$99</c:f>
              <c:strCache>
                <c:ptCount val="1"/>
                <c:pt idx="0">
                  <c:v>Marco Publico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'F-cov'!$E$108:$E$115</c:f>
              <c:strCache>
                <c:ptCount val="8"/>
                <c:pt idx="0">
                  <c:v>SLV</c:v>
                </c:pt>
                <c:pt idx="1">
                  <c:v>PRY</c:v>
                </c:pt>
                <c:pt idx="2">
                  <c:v>CHL</c:v>
                </c:pt>
                <c:pt idx="3">
                  <c:v>DOM</c:v>
                </c:pt>
                <c:pt idx="4">
                  <c:v>HND</c:v>
                </c:pt>
                <c:pt idx="5">
                  <c:v>BOL</c:v>
                </c:pt>
                <c:pt idx="6">
                  <c:v>ECU</c:v>
                </c:pt>
                <c:pt idx="7">
                  <c:v>GTM</c:v>
                </c:pt>
              </c:strCache>
            </c:strRef>
          </c:cat>
          <c:val>
            <c:numRef>
              <c:f>'F-cov'!$H$108:$H$115</c:f>
              <c:numCache>
                <c:formatCode>0.0</c:formatCode>
                <c:ptCount val="8"/>
                <c:pt idx="0" formatCode="General">
                  <c:v>5.1609999999999996</c:v>
                </c:pt>
                <c:pt idx="2" formatCode="General">
                  <c:v>6.2539999999999996</c:v>
                </c:pt>
                <c:pt idx="3" formatCode="General">
                  <c:v>7.7610000000000001</c:v>
                </c:pt>
                <c:pt idx="4" formatCode="General">
                  <c:v>15.162360000000001</c:v>
                </c:pt>
                <c:pt idx="5" formatCode="General">
                  <c:v>14.842000000000001</c:v>
                </c:pt>
                <c:pt idx="6" formatCode="General">
                  <c:v>13.042999999999999</c:v>
                </c:pt>
                <c:pt idx="7" formatCode="General">
                  <c:v>22.106999999999999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F-46CE-B782-ED76BF3261E2}"/>
            </c:ext>
          </c:extLst>
        </c:ser>
        <c:ser>
          <c:idx val="1"/>
          <c:order val="1"/>
          <c:tx>
            <c:strRef>
              <c:f>'F-cov'!$I$99</c:f>
              <c:strCache>
                <c:ptCount val="1"/>
                <c:pt idx="0">
                  <c:v>Marco privado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'F-cov'!$E$108:$E$115</c:f>
              <c:strCache>
                <c:ptCount val="8"/>
                <c:pt idx="0">
                  <c:v>SLV</c:v>
                </c:pt>
                <c:pt idx="1">
                  <c:v>PRY</c:v>
                </c:pt>
                <c:pt idx="2">
                  <c:v>CHL</c:v>
                </c:pt>
                <c:pt idx="3">
                  <c:v>DOM</c:v>
                </c:pt>
                <c:pt idx="4">
                  <c:v>HND</c:v>
                </c:pt>
                <c:pt idx="5">
                  <c:v>BOL</c:v>
                </c:pt>
                <c:pt idx="6">
                  <c:v>ECU</c:v>
                </c:pt>
                <c:pt idx="7">
                  <c:v>GTM</c:v>
                </c:pt>
              </c:strCache>
            </c:strRef>
          </c:cat>
          <c:val>
            <c:numRef>
              <c:f>'F-cov'!$I$108:$I$115</c:f>
              <c:numCache>
                <c:formatCode>0.0</c:formatCode>
                <c:ptCount val="8"/>
                <c:pt idx="0" formatCode="General">
                  <c:v>0.72399999999999998</c:v>
                </c:pt>
                <c:pt idx="2" formatCode="General">
                  <c:v>4.8689999999999998</c:v>
                </c:pt>
                <c:pt idx="3" formatCode="General">
                  <c:v>1.3640000000000001</c:v>
                </c:pt>
                <c:pt idx="4" formatCode="General">
                  <c:v>2.2656399999999994</c:v>
                </c:pt>
                <c:pt idx="5" formatCode="General">
                  <c:v>0.63800000000000001</c:v>
                </c:pt>
                <c:pt idx="6" formatCode="General">
                  <c:v>2.9729999999999999</c:v>
                </c:pt>
                <c:pt idx="7" formatCode="General">
                  <c:v>10.836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0F-46CE-B782-ED76BF326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911792"/>
        <c:axId val="628908912"/>
      </c:barChart>
      <c:catAx>
        <c:axId val="62891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908912"/>
        <c:crosses val="autoZero"/>
        <c:auto val="1"/>
        <c:lblAlgn val="ctr"/>
        <c:lblOffset val="100"/>
        <c:noMultiLvlLbl val="0"/>
      </c:catAx>
      <c:valAx>
        <c:axId val="62890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91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'F-cov'!$H$99</c:f>
              <c:strCache>
                <c:ptCount val="1"/>
                <c:pt idx="0">
                  <c:v>Marco Publico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'F-cov'!$E$116:$E$120</c:f>
              <c:strCache>
                <c:ptCount val="5"/>
                <c:pt idx="0">
                  <c:v>ARG</c:v>
                </c:pt>
                <c:pt idx="1">
                  <c:v>COL</c:v>
                </c:pt>
                <c:pt idx="2">
                  <c:v>PER</c:v>
                </c:pt>
                <c:pt idx="3">
                  <c:v>BRA</c:v>
                </c:pt>
                <c:pt idx="4">
                  <c:v>MEX</c:v>
                </c:pt>
              </c:strCache>
            </c:strRef>
          </c:cat>
          <c:val>
            <c:numRef>
              <c:f>'F-cov'!$H$116:$H$120</c:f>
              <c:numCache>
                <c:formatCode>General</c:formatCode>
                <c:ptCount val="5"/>
                <c:pt idx="0">
                  <c:v>28.262</c:v>
                </c:pt>
                <c:pt idx="1">
                  <c:v>43.622</c:v>
                </c:pt>
                <c:pt idx="2">
                  <c:v>40.488999999999997</c:v>
                </c:pt>
                <c:pt idx="3">
                  <c:v>104.11</c:v>
                </c:pt>
                <c:pt idx="4">
                  <c:v>138.16499999999999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E-4C34-A9C1-D369AC24FA60}"/>
            </c:ext>
          </c:extLst>
        </c:ser>
        <c:ser>
          <c:idx val="1"/>
          <c:order val="1"/>
          <c:tx>
            <c:strRef>
              <c:f>'F-cov'!$I$99</c:f>
              <c:strCache>
                <c:ptCount val="1"/>
                <c:pt idx="0">
                  <c:v>Marco privado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'F-cov'!$E$116:$E$120</c:f>
              <c:strCache>
                <c:ptCount val="5"/>
                <c:pt idx="0">
                  <c:v>ARG</c:v>
                </c:pt>
                <c:pt idx="1">
                  <c:v>COL</c:v>
                </c:pt>
                <c:pt idx="2">
                  <c:v>PER</c:v>
                </c:pt>
                <c:pt idx="3">
                  <c:v>BRA</c:v>
                </c:pt>
                <c:pt idx="4">
                  <c:v>MEX</c:v>
                </c:pt>
              </c:strCache>
            </c:strRef>
          </c:cat>
          <c:val>
            <c:numRef>
              <c:f>'F-cov'!$I$116:$I$120</c:f>
              <c:numCache>
                <c:formatCode>General</c:formatCode>
                <c:ptCount val="5"/>
                <c:pt idx="0">
                  <c:v>8.1210000000000004</c:v>
                </c:pt>
                <c:pt idx="1">
                  <c:v>9.593</c:v>
                </c:pt>
                <c:pt idx="2">
                  <c:v>13.548999999999999</c:v>
                </c:pt>
                <c:pt idx="3">
                  <c:v>25.866</c:v>
                </c:pt>
                <c:pt idx="4">
                  <c:v>21.247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8E-4C34-A9C1-D369AC24F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911792"/>
        <c:axId val="628908912"/>
      </c:barChart>
      <c:catAx>
        <c:axId val="62891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908912"/>
        <c:crosses val="autoZero"/>
        <c:auto val="1"/>
        <c:lblAlgn val="ctr"/>
        <c:lblOffset val="100"/>
        <c:noMultiLvlLbl val="0"/>
      </c:catAx>
      <c:valAx>
        <c:axId val="62890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91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'F-cov'!$M$25</c:f>
              <c:strCache>
                <c:ptCount val="1"/>
                <c:pt idx="0">
                  <c:v>publica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'F-cov'!$A$26:$A$47</c:f>
              <c:strCache>
                <c:ptCount val="22"/>
                <c:pt idx="0">
                  <c:v>BRB</c:v>
                </c:pt>
                <c:pt idx="1">
                  <c:v>BLZ</c:v>
                </c:pt>
                <c:pt idx="2">
                  <c:v>GUY</c:v>
                </c:pt>
                <c:pt idx="3">
                  <c:v>SUR</c:v>
                </c:pt>
                <c:pt idx="4">
                  <c:v>JAM</c:v>
                </c:pt>
                <c:pt idx="5">
                  <c:v>URY</c:v>
                </c:pt>
                <c:pt idx="6">
                  <c:v>PAN</c:v>
                </c:pt>
                <c:pt idx="7">
                  <c:v>CRI</c:v>
                </c:pt>
                <c:pt idx="8">
                  <c:v>SLV</c:v>
                </c:pt>
                <c:pt idx="9">
                  <c:v>PRY</c:v>
                </c:pt>
                <c:pt idx="10">
                  <c:v>CHL</c:v>
                </c:pt>
                <c:pt idx="11">
                  <c:v>DOM</c:v>
                </c:pt>
                <c:pt idx="12">
                  <c:v>HND</c:v>
                </c:pt>
                <c:pt idx="13">
                  <c:v>BOL</c:v>
                </c:pt>
                <c:pt idx="14">
                  <c:v>ECU</c:v>
                </c:pt>
                <c:pt idx="15">
                  <c:v>GTM</c:v>
                </c:pt>
                <c:pt idx="16">
                  <c:v>ARG</c:v>
                </c:pt>
                <c:pt idx="17">
                  <c:v>COL</c:v>
                </c:pt>
                <c:pt idx="18">
                  <c:v>PER</c:v>
                </c:pt>
                <c:pt idx="19">
                  <c:v>BRA</c:v>
                </c:pt>
                <c:pt idx="20">
                  <c:v>MEX</c:v>
                </c:pt>
                <c:pt idx="21">
                  <c:v>Total</c:v>
                </c:pt>
              </c:strCache>
            </c:strRef>
          </c:cat>
          <c:val>
            <c:numRef>
              <c:f>'F-cov'!$M$26:$M$47</c:f>
              <c:numCache>
                <c:formatCode>0</c:formatCode>
                <c:ptCount val="2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99.12587412587412</c:v>
                </c:pt>
                <c:pt idx="4">
                  <c:v>0</c:v>
                </c:pt>
                <c:pt idx="5">
                  <c:v>100</c:v>
                </c:pt>
                <c:pt idx="6">
                  <c:v>85.477178423236509</c:v>
                </c:pt>
                <c:pt idx="7">
                  <c:v>99.97701677775224</c:v>
                </c:pt>
                <c:pt idx="8">
                  <c:v>84.678119035224711</c:v>
                </c:pt>
                <c:pt idx="9">
                  <c:v>92.383324593602509</c:v>
                </c:pt>
                <c:pt idx="10">
                  <c:v>61.463761250592128</c:v>
                </c:pt>
                <c:pt idx="11">
                  <c:v>72.160356347438764</c:v>
                </c:pt>
                <c:pt idx="12">
                  <c:v>100</c:v>
                </c:pt>
                <c:pt idx="13">
                  <c:v>95.849396042148541</c:v>
                </c:pt>
                <c:pt idx="14">
                  <c:v>80.647548566142461</c:v>
                </c:pt>
                <c:pt idx="15">
                  <c:v>99.990790624856103</c:v>
                </c:pt>
                <c:pt idx="16">
                  <c:v>79.034720651436317</c:v>
                </c:pt>
                <c:pt idx="17">
                  <c:v>88.236636312721686</c:v>
                </c:pt>
                <c:pt idx="18">
                  <c:v>75.27464287053354</c:v>
                </c:pt>
                <c:pt idx="19">
                  <c:v>80.099402966701547</c:v>
                </c:pt>
                <c:pt idx="20">
                  <c:v>86.610342408977857</c:v>
                </c:pt>
                <c:pt idx="21">
                  <c:v>83.931474701961875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7-4D17-AE81-C2787BE0599B}"/>
            </c:ext>
          </c:extLst>
        </c:ser>
        <c:ser>
          <c:idx val="1"/>
          <c:order val="1"/>
          <c:tx>
            <c:strRef>
              <c:f>'F-cov'!$N$25</c:f>
              <c:strCache>
                <c:ptCount val="1"/>
                <c:pt idx="0">
                  <c:v>privada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'F-cov'!$A$26:$A$47</c:f>
              <c:strCache>
                <c:ptCount val="22"/>
                <c:pt idx="0">
                  <c:v>BRB</c:v>
                </c:pt>
                <c:pt idx="1">
                  <c:v>BLZ</c:v>
                </c:pt>
                <c:pt idx="2">
                  <c:v>GUY</c:v>
                </c:pt>
                <c:pt idx="3">
                  <c:v>SUR</c:v>
                </c:pt>
                <c:pt idx="4">
                  <c:v>JAM</c:v>
                </c:pt>
                <c:pt idx="5">
                  <c:v>URY</c:v>
                </c:pt>
                <c:pt idx="6">
                  <c:v>PAN</c:v>
                </c:pt>
                <c:pt idx="7">
                  <c:v>CRI</c:v>
                </c:pt>
                <c:pt idx="8">
                  <c:v>SLV</c:v>
                </c:pt>
                <c:pt idx="9">
                  <c:v>PRY</c:v>
                </c:pt>
                <c:pt idx="10">
                  <c:v>CHL</c:v>
                </c:pt>
                <c:pt idx="11">
                  <c:v>DOM</c:v>
                </c:pt>
                <c:pt idx="12">
                  <c:v>HND</c:v>
                </c:pt>
                <c:pt idx="13">
                  <c:v>BOL</c:v>
                </c:pt>
                <c:pt idx="14">
                  <c:v>ECU</c:v>
                </c:pt>
                <c:pt idx="15">
                  <c:v>GTM</c:v>
                </c:pt>
                <c:pt idx="16">
                  <c:v>ARG</c:v>
                </c:pt>
                <c:pt idx="17">
                  <c:v>COL</c:v>
                </c:pt>
                <c:pt idx="18">
                  <c:v>PER</c:v>
                </c:pt>
                <c:pt idx="19">
                  <c:v>BRA</c:v>
                </c:pt>
                <c:pt idx="20">
                  <c:v>MEX</c:v>
                </c:pt>
                <c:pt idx="21">
                  <c:v>Total</c:v>
                </c:pt>
              </c:strCache>
            </c:strRef>
          </c:cat>
          <c:val>
            <c:numRef>
              <c:f>'F-cov'!$N$26:$N$47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0.87412587412587417</c:v>
                </c:pt>
                <c:pt idx="4">
                  <c:v>0</c:v>
                </c:pt>
                <c:pt idx="5">
                  <c:v>0</c:v>
                </c:pt>
                <c:pt idx="6">
                  <c:v>14.522821576763487</c:v>
                </c:pt>
                <c:pt idx="7">
                  <c:v>2.2983222247759134E-2</c:v>
                </c:pt>
                <c:pt idx="8">
                  <c:v>15.321880964775293</c:v>
                </c:pt>
                <c:pt idx="9">
                  <c:v>7.6166754063974826</c:v>
                </c:pt>
                <c:pt idx="10">
                  <c:v>38.536238749407858</c:v>
                </c:pt>
                <c:pt idx="11">
                  <c:v>27.839643652561247</c:v>
                </c:pt>
                <c:pt idx="12">
                  <c:v>0</c:v>
                </c:pt>
                <c:pt idx="13">
                  <c:v>4.1506039578514526</c:v>
                </c:pt>
                <c:pt idx="14">
                  <c:v>19.352451433857539</c:v>
                </c:pt>
                <c:pt idx="15">
                  <c:v>9.2093751438964873E-3</c:v>
                </c:pt>
                <c:pt idx="16">
                  <c:v>20.965279348563673</c:v>
                </c:pt>
                <c:pt idx="17">
                  <c:v>11.763363687278309</c:v>
                </c:pt>
                <c:pt idx="18">
                  <c:v>24.725357129466463</c:v>
                </c:pt>
                <c:pt idx="19">
                  <c:v>19.900597033298457</c:v>
                </c:pt>
                <c:pt idx="20">
                  <c:v>13.389657591022125</c:v>
                </c:pt>
                <c:pt idx="21">
                  <c:v>15.896930442128978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47-4D17-AE81-C2787BE05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9370640"/>
        <c:axId val="319371600"/>
      </c:barChart>
      <c:catAx>
        <c:axId val="31937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71600"/>
        <c:crosses val="autoZero"/>
        <c:auto val="1"/>
        <c:lblAlgn val="ctr"/>
        <c:lblOffset val="100"/>
        <c:noMultiLvlLbl val="0"/>
      </c:catAx>
      <c:valAx>
        <c:axId val="31937160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7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'F-cov'!$E$100:$E$120</c:f>
              <c:strCache>
                <c:ptCount val="21"/>
                <c:pt idx="0">
                  <c:v>BRB</c:v>
                </c:pt>
                <c:pt idx="1">
                  <c:v>BLZ</c:v>
                </c:pt>
                <c:pt idx="2">
                  <c:v>GUY</c:v>
                </c:pt>
                <c:pt idx="3">
                  <c:v>SUR</c:v>
                </c:pt>
                <c:pt idx="4">
                  <c:v>JAM</c:v>
                </c:pt>
                <c:pt idx="5">
                  <c:v>URY</c:v>
                </c:pt>
                <c:pt idx="6">
                  <c:v>PAN</c:v>
                </c:pt>
                <c:pt idx="7">
                  <c:v>CRI</c:v>
                </c:pt>
                <c:pt idx="8">
                  <c:v>SLV</c:v>
                </c:pt>
                <c:pt idx="9">
                  <c:v>PRY</c:v>
                </c:pt>
                <c:pt idx="10">
                  <c:v>CHL</c:v>
                </c:pt>
                <c:pt idx="11">
                  <c:v>DOM</c:v>
                </c:pt>
                <c:pt idx="12">
                  <c:v>HND</c:v>
                </c:pt>
                <c:pt idx="13">
                  <c:v>BOL</c:v>
                </c:pt>
                <c:pt idx="14">
                  <c:v>ECU</c:v>
                </c:pt>
                <c:pt idx="15">
                  <c:v>GTM</c:v>
                </c:pt>
                <c:pt idx="16">
                  <c:v>ARG</c:v>
                </c:pt>
                <c:pt idx="17">
                  <c:v>COL</c:v>
                </c:pt>
                <c:pt idx="18">
                  <c:v>PER</c:v>
                </c:pt>
                <c:pt idx="19">
                  <c:v>BRA</c:v>
                </c:pt>
                <c:pt idx="20">
                  <c:v>MEX</c:v>
                </c:pt>
              </c:strCache>
            </c:strRef>
          </c:cat>
          <c:val>
            <c:numRef>
              <c:f>'F-cov'!$J$100:$J$120</c:f>
              <c:numCache>
                <c:formatCode>0</c:formatCode>
                <c:ptCount val="21"/>
                <c:pt idx="0">
                  <c:v>68.992248062015506</c:v>
                </c:pt>
                <c:pt idx="1">
                  <c:v>80.104712041884824</c:v>
                </c:pt>
                <c:pt idx="5">
                  <c:v>81.925406439273189</c:v>
                </c:pt>
                <c:pt idx="6">
                  <c:v>85.477178423236509</c:v>
                </c:pt>
                <c:pt idx="7">
                  <c:v>87.597535934291585</c:v>
                </c:pt>
                <c:pt idx="8">
                  <c:v>87.697536108751066</c:v>
                </c:pt>
                <c:pt idx="10">
                  <c:v>56.225838352962334</c:v>
                </c:pt>
                <c:pt idx="11">
                  <c:v>85.052054794520544</c:v>
                </c:pt>
                <c:pt idx="12">
                  <c:v>87</c:v>
                </c:pt>
                <c:pt idx="13">
                  <c:v>95.878552971576227</c:v>
                </c:pt>
                <c:pt idx="14">
                  <c:v>81.437312687312698</c:v>
                </c:pt>
                <c:pt idx="15">
                  <c:v>67.106820872415994</c:v>
                </c:pt>
                <c:pt idx="16">
                  <c:v>77.679135860154474</c:v>
                </c:pt>
                <c:pt idx="17">
                  <c:v>81.973127877478163</c:v>
                </c:pt>
                <c:pt idx="18">
                  <c:v>74.92690329027721</c:v>
                </c:pt>
                <c:pt idx="19">
                  <c:v>80.099402966701547</c:v>
                </c:pt>
                <c:pt idx="20">
                  <c:v>86.671643289087399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3-4FEC-AB22-34FD5582247E}"/>
            </c:ext>
          </c:extLst>
        </c:ser>
        <c:ser>
          <c:idx val="1"/>
          <c:order val="1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'F-cov'!$E$100:$E$120</c:f>
              <c:strCache>
                <c:ptCount val="21"/>
                <c:pt idx="0">
                  <c:v>BRB</c:v>
                </c:pt>
                <c:pt idx="1">
                  <c:v>BLZ</c:v>
                </c:pt>
                <c:pt idx="2">
                  <c:v>GUY</c:v>
                </c:pt>
                <c:pt idx="3">
                  <c:v>SUR</c:v>
                </c:pt>
                <c:pt idx="4">
                  <c:v>JAM</c:v>
                </c:pt>
                <c:pt idx="5">
                  <c:v>URY</c:v>
                </c:pt>
                <c:pt idx="6">
                  <c:v>PAN</c:v>
                </c:pt>
                <c:pt idx="7">
                  <c:v>CRI</c:v>
                </c:pt>
                <c:pt idx="8">
                  <c:v>SLV</c:v>
                </c:pt>
                <c:pt idx="9">
                  <c:v>PRY</c:v>
                </c:pt>
                <c:pt idx="10">
                  <c:v>CHL</c:v>
                </c:pt>
                <c:pt idx="11">
                  <c:v>DOM</c:v>
                </c:pt>
                <c:pt idx="12">
                  <c:v>HND</c:v>
                </c:pt>
                <c:pt idx="13">
                  <c:v>BOL</c:v>
                </c:pt>
                <c:pt idx="14">
                  <c:v>ECU</c:v>
                </c:pt>
                <c:pt idx="15">
                  <c:v>GTM</c:v>
                </c:pt>
                <c:pt idx="16">
                  <c:v>ARG</c:v>
                </c:pt>
                <c:pt idx="17">
                  <c:v>COL</c:v>
                </c:pt>
                <c:pt idx="18">
                  <c:v>PER</c:v>
                </c:pt>
                <c:pt idx="19">
                  <c:v>BRA</c:v>
                </c:pt>
                <c:pt idx="20">
                  <c:v>MEX</c:v>
                </c:pt>
              </c:strCache>
            </c:strRef>
          </c:cat>
          <c:val>
            <c:numRef>
              <c:f>'F-cov'!$K$100:$K$120</c:f>
              <c:numCache>
                <c:formatCode>0</c:formatCode>
                <c:ptCount val="21"/>
                <c:pt idx="0">
                  <c:v>31.007751937984494</c:v>
                </c:pt>
                <c:pt idx="1">
                  <c:v>19.895287958115176</c:v>
                </c:pt>
                <c:pt idx="5">
                  <c:v>18.074593560726811</c:v>
                </c:pt>
                <c:pt idx="6">
                  <c:v>14.522821576763491</c:v>
                </c:pt>
                <c:pt idx="7">
                  <c:v>12.402464065708415</c:v>
                </c:pt>
                <c:pt idx="8">
                  <c:v>12.302463891248934</c:v>
                </c:pt>
                <c:pt idx="10">
                  <c:v>43.774161647037666</c:v>
                </c:pt>
                <c:pt idx="11">
                  <c:v>14.947945205479456</c:v>
                </c:pt>
                <c:pt idx="12">
                  <c:v>13</c:v>
                </c:pt>
                <c:pt idx="13">
                  <c:v>4.1214470284237734</c:v>
                </c:pt>
                <c:pt idx="14">
                  <c:v>18.562687312687302</c:v>
                </c:pt>
                <c:pt idx="15">
                  <c:v>32.893179127584006</c:v>
                </c:pt>
                <c:pt idx="16">
                  <c:v>22.320864139845526</c:v>
                </c:pt>
                <c:pt idx="17">
                  <c:v>18.026872122521837</c:v>
                </c:pt>
                <c:pt idx="18">
                  <c:v>25.07309670972279</c:v>
                </c:pt>
                <c:pt idx="19">
                  <c:v>19.900597033298453</c:v>
                </c:pt>
                <c:pt idx="20">
                  <c:v>13.328356710912601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D3-4FEC-AB22-34FD55822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2715168"/>
        <c:axId val="842712768"/>
      </c:barChart>
      <c:catAx>
        <c:axId val="84271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712768"/>
        <c:crosses val="autoZero"/>
        <c:auto val="1"/>
        <c:lblAlgn val="ctr"/>
        <c:lblOffset val="100"/>
        <c:noMultiLvlLbl val="0"/>
      </c:catAx>
      <c:valAx>
        <c:axId val="8427127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71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5</xdr:row>
      <xdr:rowOff>133349</xdr:rowOff>
    </xdr:from>
    <xdr:to>
      <xdr:col>12</xdr:col>
      <xdr:colOff>533400</xdr:colOff>
      <xdr:row>20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B6B927-B324-07CD-57A7-2C1114AB9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466725</xdr:colOff>
      <xdr:row>5</xdr:row>
      <xdr:rowOff>123824</xdr:rowOff>
    </xdr:from>
    <xdr:to>
      <xdr:col>20</xdr:col>
      <xdr:colOff>504825</xdr:colOff>
      <xdr:row>20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46E05E-CB50-6A8B-CE1E-E57A282A4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411956</xdr:colOff>
      <xdr:row>43</xdr:row>
      <xdr:rowOff>38100</xdr:rowOff>
    </xdr:from>
    <xdr:to>
      <xdr:col>22</xdr:col>
      <xdr:colOff>614363</xdr:colOff>
      <xdr:row>55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82CAEE-A472-DA82-93D1-2AF7C02FD9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261937</xdr:colOff>
      <xdr:row>43</xdr:row>
      <xdr:rowOff>9525</xdr:rowOff>
    </xdr:from>
    <xdr:to>
      <xdr:col>29</xdr:col>
      <xdr:colOff>585788</xdr:colOff>
      <xdr:row>55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035241-AC3D-45AF-A2CC-878B0D39D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185737</xdr:colOff>
      <xdr:row>49</xdr:row>
      <xdr:rowOff>157163</xdr:rowOff>
    </xdr:from>
    <xdr:to>
      <xdr:col>16</xdr:col>
      <xdr:colOff>500062</xdr:colOff>
      <xdr:row>61</xdr:row>
      <xdr:rowOff>157163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3788FA-6399-4076-87FA-611C4C8CA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28575</xdr:colOff>
      <xdr:row>56</xdr:row>
      <xdr:rowOff>4762</xdr:rowOff>
    </xdr:from>
    <xdr:to>
      <xdr:col>16</xdr:col>
      <xdr:colOff>342900</xdr:colOff>
      <xdr:row>68</xdr:row>
      <xdr:rowOff>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9DFB48-53B1-4182-8E0D-38257D2B4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409575</xdr:colOff>
      <xdr:row>56</xdr:row>
      <xdr:rowOff>57150</xdr:rowOff>
    </xdr:from>
    <xdr:to>
      <xdr:col>22</xdr:col>
      <xdr:colOff>611982</xdr:colOff>
      <xdr:row>68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60AB30-2845-404E-8B45-ACC0EAC9D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261937</xdr:colOff>
      <xdr:row>56</xdr:row>
      <xdr:rowOff>76200</xdr:rowOff>
    </xdr:from>
    <xdr:to>
      <xdr:col>29</xdr:col>
      <xdr:colOff>585788</xdr:colOff>
      <xdr:row>68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8301B5-53AB-4432-92F3-13D74B961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166687</xdr:colOff>
      <xdr:row>48</xdr:row>
      <xdr:rowOff>33337</xdr:rowOff>
    </xdr:from>
    <xdr:to>
      <xdr:col>9</xdr:col>
      <xdr:colOff>161925</xdr:colOff>
      <xdr:row>68</xdr:row>
      <xdr:rowOff>109538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97E363-5694-F4AE-400F-508254A90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104774</xdr:colOff>
      <xdr:row>55</xdr:row>
      <xdr:rowOff>171450</xdr:rowOff>
    </xdr:from>
    <xdr:to>
      <xdr:col>16</xdr:col>
      <xdr:colOff>400049</xdr:colOff>
      <xdr:row>69</xdr:row>
      <xdr:rowOff>57148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7AB99C0-EC7E-0207-BE12-6CA03250B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438150</xdr:colOff>
      <xdr:row>56</xdr:row>
      <xdr:rowOff>0</xdr:rowOff>
    </xdr:from>
    <xdr:to>
      <xdr:col>23</xdr:col>
      <xdr:colOff>476250</xdr:colOff>
      <xdr:row>69</xdr:row>
      <xdr:rowOff>66673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418E3E5-29F6-4ABC-82A8-A4826DBAB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533400</xdr:colOff>
      <xdr:row>56</xdr:row>
      <xdr:rowOff>47625</xdr:rowOff>
    </xdr:from>
    <xdr:to>
      <xdr:col>30</xdr:col>
      <xdr:colOff>571500</xdr:colOff>
      <xdr:row>69</xdr:row>
      <xdr:rowOff>114298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2EFD185-5B39-433A-A3DD-87CCE0C95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14287</xdr:colOff>
      <xdr:row>29</xdr:row>
      <xdr:rowOff>128587</xdr:rowOff>
    </xdr:from>
    <xdr:to>
      <xdr:col>22</xdr:col>
      <xdr:colOff>52387</xdr:colOff>
      <xdr:row>41</xdr:row>
      <xdr:rowOff>128587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11D092A-5D9D-4C70-86BA-E327C0EB4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450055</xdr:colOff>
      <xdr:row>100</xdr:row>
      <xdr:rowOff>109537</xdr:rowOff>
    </xdr:from>
    <xdr:to>
      <xdr:col>18</xdr:col>
      <xdr:colOff>111918</xdr:colOff>
      <xdr:row>115</xdr:row>
      <xdr:rowOff>138112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B3F62E6-F1EC-38F5-441D-E9EA9264B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planeacion.sep.gob.mx/Doc/estadistica_e_indicadores/principales_cifras/principales_cifras_2023_2024_bolsillo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eacion.sep.gob.mx/Doc/estadistica_e_indicadores/principales_cifras/principales_cifras_2023_2024_bolsill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workbookViewId="0">
      <pane ySplit="1" topLeftCell="A2" activePane="bottomLeft" state="frozen"/>
      <selection pane="bottomLeft" activeCell="D18" sqref="D18"/>
    </sheetView>
  </sheetViews>
  <sheetFormatPr defaultRowHeight="14.25" x14ac:dyDescent="0.45"/>
  <cols>
    <col min="1" max="1" width="10" customWidth="1"/>
    <col min="2" max="2" width="9" customWidth="1"/>
    <col min="3" max="3" width="20" customWidth="1"/>
    <col min="4" max="4" width="15.6640625" customWidth="1"/>
    <col min="5" max="5" width="11.06640625" customWidth="1"/>
    <col min="6" max="6" width="17.59765625" customWidth="1"/>
    <col min="7" max="7" width="11.59765625" customWidth="1"/>
    <col min="8" max="8" width="14.796875" customWidth="1"/>
    <col min="9" max="9" width="20.796875" customWidth="1"/>
    <col min="10" max="10" width="22.1328125" customWidth="1"/>
    <col min="11" max="11" width="18" customWidth="1"/>
    <col min="12" max="13" width="10" customWidth="1"/>
    <col min="14" max="14" width="14" customWidth="1"/>
    <col min="15" max="15" width="60" customWidth="1"/>
  </cols>
  <sheetData>
    <row r="1" spans="1:15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t="s">
        <v>15</v>
      </c>
      <c r="B2">
        <v>2024</v>
      </c>
      <c r="C2" t="s">
        <v>16</v>
      </c>
      <c r="D2">
        <v>35636</v>
      </c>
      <c r="E2">
        <v>34167</v>
      </c>
      <c r="F2">
        <v>1469</v>
      </c>
      <c r="G2" s="2">
        <v>95.9</v>
      </c>
      <c r="H2">
        <v>33945</v>
      </c>
      <c r="I2">
        <v>45000</v>
      </c>
      <c r="J2">
        <v>105</v>
      </c>
      <c r="K2" s="2">
        <v>79.2</v>
      </c>
      <c r="L2" t="b">
        <v>1</v>
      </c>
      <c r="M2" t="b">
        <v>0</v>
      </c>
      <c r="N2" s="3" t="b">
        <v>1</v>
      </c>
      <c r="O2" t="s">
        <v>17</v>
      </c>
    </row>
    <row r="3" spans="1:15" x14ac:dyDescent="0.45">
      <c r="A3" s="4" t="s">
        <v>18</v>
      </c>
      <c r="B3" s="4">
        <v>2024</v>
      </c>
      <c r="C3" s="4" t="s">
        <v>16</v>
      </c>
      <c r="D3" s="4"/>
      <c r="E3" s="4"/>
      <c r="F3" s="4"/>
      <c r="G3" s="5"/>
      <c r="H3" s="4">
        <v>77</v>
      </c>
      <c r="I3" s="4">
        <v>77</v>
      </c>
      <c r="J3" s="4"/>
      <c r="K3" s="5"/>
      <c r="L3" s="4" t="b">
        <v>0</v>
      </c>
      <c r="M3" s="4" t="b">
        <v>0</v>
      </c>
      <c r="N3" s="4" t="b">
        <v>0</v>
      </c>
      <c r="O3" s="4" t="s">
        <v>19</v>
      </c>
    </row>
    <row r="4" spans="1:15" x14ac:dyDescent="0.45">
      <c r="A4" t="s">
        <v>20</v>
      </c>
      <c r="B4">
        <v>2024</v>
      </c>
      <c r="C4" t="s">
        <v>21</v>
      </c>
      <c r="D4">
        <v>303</v>
      </c>
      <c r="E4">
        <v>303</v>
      </c>
      <c r="F4">
        <v>0</v>
      </c>
      <c r="G4" s="5">
        <v>100</v>
      </c>
      <c r="H4">
        <v>303</v>
      </c>
      <c r="I4">
        <v>303</v>
      </c>
      <c r="J4">
        <v>100</v>
      </c>
      <c r="K4" s="5">
        <v>100</v>
      </c>
      <c r="L4" t="b">
        <v>1</v>
      </c>
      <c r="M4" t="b">
        <v>0</v>
      </c>
      <c r="N4" t="b">
        <v>0</v>
      </c>
      <c r="O4" t="s">
        <v>22</v>
      </c>
    </row>
    <row r="5" spans="1:15" x14ac:dyDescent="0.45">
      <c r="A5" t="s">
        <v>23</v>
      </c>
      <c r="B5">
        <v>2023</v>
      </c>
      <c r="C5" t="s">
        <v>16</v>
      </c>
      <c r="D5">
        <v>15329</v>
      </c>
      <c r="E5">
        <v>15301</v>
      </c>
      <c r="F5">
        <v>28</v>
      </c>
      <c r="G5" s="5">
        <v>99.8</v>
      </c>
      <c r="H5">
        <v>15329</v>
      </c>
      <c r="I5">
        <v>16159</v>
      </c>
      <c r="J5">
        <v>100</v>
      </c>
      <c r="K5" s="5">
        <v>94.9</v>
      </c>
      <c r="L5" t="b">
        <v>1</v>
      </c>
      <c r="M5" t="b">
        <v>0</v>
      </c>
      <c r="N5" s="3" t="b">
        <v>1</v>
      </c>
      <c r="O5" t="s">
        <v>24</v>
      </c>
    </row>
    <row r="6" spans="1:15" x14ac:dyDescent="0.45">
      <c r="A6" t="s">
        <v>25</v>
      </c>
      <c r="B6">
        <v>2023</v>
      </c>
      <c r="C6" t="s">
        <v>16</v>
      </c>
      <c r="D6">
        <v>134418</v>
      </c>
      <c r="E6">
        <v>116542</v>
      </c>
      <c r="F6">
        <v>17876</v>
      </c>
      <c r="G6" s="6">
        <v>86.7</v>
      </c>
      <c r="H6">
        <v>137914</v>
      </c>
      <c r="I6">
        <v>180230</v>
      </c>
      <c r="J6">
        <v>97.5</v>
      </c>
      <c r="K6" s="2">
        <v>74.599999999999994</v>
      </c>
      <c r="L6" t="b">
        <v>1</v>
      </c>
      <c r="M6" t="b">
        <v>0</v>
      </c>
      <c r="N6" s="3" t="b">
        <v>1</v>
      </c>
      <c r="O6" t="s">
        <v>26</v>
      </c>
    </row>
    <row r="7" spans="1:15" x14ac:dyDescent="0.45">
      <c r="A7" t="s">
        <v>27</v>
      </c>
      <c r="B7">
        <v>2024</v>
      </c>
      <c r="C7" t="s">
        <v>28</v>
      </c>
      <c r="D7">
        <v>106</v>
      </c>
      <c r="E7">
        <v>0</v>
      </c>
      <c r="F7">
        <v>106</v>
      </c>
      <c r="G7" s="6">
        <v>0</v>
      </c>
      <c r="H7">
        <v>106</v>
      </c>
      <c r="I7">
        <v>106</v>
      </c>
      <c r="J7">
        <v>100</v>
      </c>
      <c r="K7" s="5">
        <v>100</v>
      </c>
      <c r="L7" t="b">
        <v>1</v>
      </c>
      <c r="M7" t="b">
        <v>0</v>
      </c>
      <c r="N7" t="b">
        <v>0</v>
      </c>
      <c r="O7" t="s">
        <v>29</v>
      </c>
    </row>
    <row r="8" spans="1:15" x14ac:dyDescent="0.45">
      <c r="A8" t="s">
        <v>30</v>
      </c>
      <c r="B8">
        <v>2023</v>
      </c>
      <c r="C8" t="s">
        <v>31</v>
      </c>
      <c r="D8">
        <v>7895</v>
      </c>
      <c r="E8">
        <v>7895</v>
      </c>
      <c r="F8">
        <v>0</v>
      </c>
      <c r="G8" s="5">
        <v>100</v>
      </c>
      <c r="H8">
        <v>7895</v>
      </c>
      <c r="I8">
        <v>16659</v>
      </c>
      <c r="J8">
        <v>100</v>
      </c>
      <c r="K8" s="6">
        <v>47.4</v>
      </c>
      <c r="L8" t="b">
        <v>1</v>
      </c>
      <c r="M8" t="b">
        <v>0</v>
      </c>
      <c r="N8" t="b">
        <v>0</v>
      </c>
      <c r="O8" t="s">
        <v>32</v>
      </c>
    </row>
    <row r="9" spans="1:15" x14ac:dyDescent="0.45">
      <c r="A9" t="s">
        <v>33</v>
      </c>
      <c r="B9">
        <v>2023</v>
      </c>
      <c r="C9" t="s">
        <v>16</v>
      </c>
      <c r="D9">
        <v>43658</v>
      </c>
      <c r="E9">
        <v>43259</v>
      </c>
      <c r="F9">
        <v>399</v>
      </c>
      <c r="G9" s="5">
        <v>99.1</v>
      </c>
      <c r="H9">
        <v>42846</v>
      </c>
      <c r="I9">
        <v>50866</v>
      </c>
      <c r="J9">
        <v>101.9</v>
      </c>
      <c r="K9" s="5">
        <v>85.8</v>
      </c>
      <c r="L9" t="b">
        <v>1</v>
      </c>
      <c r="M9" t="b">
        <v>0</v>
      </c>
      <c r="N9" s="3" t="b">
        <v>1</v>
      </c>
      <c r="O9" t="s">
        <v>34</v>
      </c>
    </row>
    <row r="10" spans="1:15" x14ac:dyDescent="0.45">
      <c r="A10" t="s">
        <v>35</v>
      </c>
      <c r="B10">
        <v>2024</v>
      </c>
      <c r="C10" t="s">
        <v>16</v>
      </c>
      <c r="D10">
        <v>4418</v>
      </c>
      <c r="E10">
        <v>4381</v>
      </c>
      <c r="F10">
        <v>37</v>
      </c>
      <c r="G10" s="5">
        <v>99.2</v>
      </c>
      <c r="H10">
        <v>4504</v>
      </c>
      <c r="I10">
        <v>5268</v>
      </c>
      <c r="J10">
        <v>98.1</v>
      </c>
      <c r="K10" s="5">
        <v>83.9</v>
      </c>
      <c r="L10" t="b">
        <v>1</v>
      </c>
      <c r="M10" t="b">
        <v>0</v>
      </c>
      <c r="N10" s="3" t="b">
        <v>1</v>
      </c>
      <c r="O10" t="s">
        <v>36</v>
      </c>
    </row>
    <row r="11" spans="1:15" x14ac:dyDescent="0.45">
      <c r="A11" t="s">
        <v>37</v>
      </c>
      <c r="B11">
        <v>2024</v>
      </c>
      <c r="C11" t="s">
        <v>16</v>
      </c>
      <c r="D11">
        <v>6599</v>
      </c>
      <c r="E11">
        <v>6294</v>
      </c>
      <c r="F11">
        <v>305</v>
      </c>
      <c r="G11" s="2">
        <v>95.4</v>
      </c>
      <c r="H11">
        <v>7893</v>
      </c>
      <c r="I11">
        <v>10615</v>
      </c>
      <c r="J11">
        <v>83.6</v>
      </c>
      <c r="K11" s="2">
        <v>62.2</v>
      </c>
      <c r="L11" t="b">
        <v>1</v>
      </c>
      <c r="M11" t="b">
        <v>0</v>
      </c>
      <c r="N11" s="3" t="b">
        <v>1</v>
      </c>
      <c r="O11" t="s">
        <v>38</v>
      </c>
    </row>
    <row r="12" spans="1:15" x14ac:dyDescent="0.45">
      <c r="A12" t="s">
        <v>39</v>
      </c>
      <c r="B12">
        <v>2024</v>
      </c>
      <c r="C12" t="s">
        <v>16</v>
      </c>
      <c r="D12">
        <v>6382</v>
      </c>
      <c r="E12">
        <v>6357</v>
      </c>
      <c r="F12">
        <v>25</v>
      </c>
      <c r="G12" s="5">
        <v>99.6</v>
      </c>
      <c r="H12">
        <v>12767</v>
      </c>
      <c r="I12">
        <v>15706</v>
      </c>
      <c r="J12">
        <v>50</v>
      </c>
      <c r="K12" s="6">
        <v>40.6</v>
      </c>
      <c r="L12" t="b">
        <v>1</v>
      </c>
      <c r="M12" t="b">
        <v>0</v>
      </c>
      <c r="N12" s="3" t="b">
        <v>1</v>
      </c>
      <c r="O12" t="s">
        <v>40</v>
      </c>
    </row>
    <row r="13" spans="1:15" x14ac:dyDescent="0.45">
      <c r="A13" t="s">
        <v>41</v>
      </c>
      <c r="B13">
        <v>2024</v>
      </c>
      <c r="C13" t="s">
        <v>16</v>
      </c>
      <c r="D13">
        <v>35973</v>
      </c>
      <c r="E13">
        <v>35973</v>
      </c>
      <c r="F13">
        <v>0</v>
      </c>
      <c r="G13" s="5">
        <v>100</v>
      </c>
      <c r="H13">
        <v>35497</v>
      </c>
      <c r="I13">
        <v>35501</v>
      </c>
      <c r="J13">
        <v>101.3</v>
      </c>
      <c r="K13" s="5">
        <v>101.3</v>
      </c>
      <c r="L13" t="b">
        <v>1</v>
      </c>
      <c r="M13" t="b">
        <v>0</v>
      </c>
      <c r="N13" t="b">
        <v>0</v>
      </c>
      <c r="O13" t="s">
        <v>42</v>
      </c>
    </row>
    <row r="14" spans="1:15" x14ac:dyDescent="0.45">
      <c r="A14" t="s">
        <v>43</v>
      </c>
      <c r="B14">
        <v>2024</v>
      </c>
      <c r="C14" t="s">
        <v>16</v>
      </c>
      <c r="D14">
        <v>874</v>
      </c>
      <c r="E14">
        <v>874</v>
      </c>
      <c r="F14">
        <v>0</v>
      </c>
      <c r="G14" s="5">
        <v>100</v>
      </c>
      <c r="H14">
        <v>874</v>
      </c>
      <c r="I14">
        <v>874</v>
      </c>
      <c r="J14">
        <v>100</v>
      </c>
      <c r="K14" s="5">
        <v>100</v>
      </c>
      <c r="L14" t="b">
        <v>1</v>
      </c>
      <c r="M14" t="b">
        <v>0</v>
      </c>
      <c r="N14" t="b">
        <v>0</v>
      </c>
      <c r="O14" t="s">
        <v>44</v>
      </c>
    </row>
    <row r="15" spans="1:15" x14ac:dyDescent="0.45">
      <c r="A15" t="s">
        <v>45</v>
      </c>
      <c r="B15">
        <v>2023</v>
      </c>
      <c r="C15" t="s">
        <v>16</v>
      </c>
      <c r="D15">
        <v>16955</v>
      </c>
      <c r="E15">
        <v>16234</v>
      </c>
      <c r="F15">
        <v>721</v>
      </c>
      <c r="G15" s="2">
        <v>95.7</v>
      </c>
      <c r="H15">
        <v>17428</v>
      </c>
      <c r="I15">
        <v>17428</v>
      </c>
      <c r="J15">
        <v>97.3</v>
      </c>
      <c r="K15" s="5">
        <v>97.3</v>
      </c>
      <c r="L15" t="b">
        <v>1</v>
      </c>
      <c r="M15" t="b">
        <v>0</v>
      </c>
      <c r="N15" t="b">
        <v>0</v>
      </c>
      <c r="O15" t="s">
        <v>46</v>
      </c>
    </row>
    <row r="16" spans="1:15" x14ac:dyDescent="0.45">
      <c r="A16" s="4" t="s">
        <v>47</v>
      </c>
      <c r="B16" s="4">
        <v>2022</v>
      </c>
      <c r="C16" s="4" t="s">
        <v>28</v>
      </c>
      <c r="D16" s="4"/>
      <c r="E16" s="4"/>
      <c r="F16" s="4"/>
      <c r="G16" s="5"/>
      <c r="H16" s="4"/>
      <c r="I16" s="4"/>
      <c r="J16" s="4"/>
      <c r="K16" s="5"/>
      <c r="L16" s="4" t="b">
        <v>0</v>
      </c>
      <c r="M16" s="4" t="b">
        <v>0</v>
      </c>
      <c r="N16" s="4" t="b">
        <v>0</v>
      </c>
      <c r="O16" s="4" t="s">
        <v>48</v>
      </c>
    </row>
    <row r="17" spans="1:15" x14ac:dyDescent="0.45">
      <c r="A17" t="s">
        <v>49</v>
      </c>
      <c r="B17">
        <v>2024</v>
      </c>
      <c r="C17" t="s">
        <v>28</v>
      </c>
      <c r="D17">
        <v>955</v>
      </c>
      <c r="E17">
        <v>953</v>
      </c>
      <c r="F17">
        <v>2</v>
      </c>
      <c r="G17" s="5">
        <v>99.8</v>
      </c>
      <c r="H17">
        <v>955</v>
      </c>
      <c r="I17">
        <v>955</v>
      </c>
      <c r="J17">
        <v>100</v>
      </c>
      <c r="K17" s="5">
        <v>100</v>
      </c>
      <c r="L17" t="b">
        <v>1</v>
      </c>
      <c r="M17" t="b">
        <v>0</v>
      </c>
      <c r="N17" t="b">
        <v>0</v>
      </c>
      <c r="O17" t="s">
        <v>50</v>
      </c>
    </row>
    <row r="18" spans="1:15" x14ac:dyDescent="0.45">
      <c r="A18" t="s">
        <v>51</v>
      </c>
      <c r="B18">
        <v>2024</v>
      </c>
      <c r="C18" t="s">
        <v>16</v>
      </c>
      <c r="D18">
        <v>205848</v>
      </c>
      <c r="E18">
        <v>205848</v>
      </c>
      <c r="F18">
        <v>0</v>
      </c>
      <c r="G18" s="5">
        <v>100</v>
      </c>
      <c r="H18">
        <v>209629</v>
      </c>
      <c r="I18">
        <v>243842</v>
      </c>
      <c r="J18">
        <v>98.2</v>
      </c>
      <c r="K18" s="5">
        <v>84.4</v>
      </c>
      <c r="L18" t="b">
        <v>1</v>
      </c>
      <c r="M18" t="b">
        <v>0</v>
      </c>
      <c r="N18" s="3" t="b">
        <v>1</v>
      </c>
      <c r="O18" t="s">
        <v>52</v>
      </c>
    </row>
    <row r="19" spans="1:15" x14ac:dyDescent="0.45">
      <c r="A19" t="s">
        <v>53</v>
      </c>
      <c r="B19">
        <v>2024</v>
      </c>
      <c r="C19" t="s">
        <v>16</v>
      </c>
      <c r="D19">
        <v>3132</v>
      </c>
      <c r="E19">
        <v>3107</v>
      </c>
      <c r="F19">
        <v>25</v>
      </c>
      <c r="G19" s="5">
        <v>99.2</v>
      </c>
      <c r="H19">
        <v>3092</v>
      </c>
      <c r="I19">
        <v>3660</v>
      </c>
      <c r="J19">
        <v>101.3</v>
      </c>
      <c r="K19" s="5">
        <v>85.6</v>
      </c>
      <c r="L19" t="b">
        <v>1</v>
      </c>
      <c r="M19" t="b">
        <v>0</v>
      </c>
      <c r="N19" s="3" t="b">
        <v>1</v>
      </c>
      <c r="O19" t="s">
        <v>54</v>
      </c>
    </row>
    <row r="20" spans="1:15" x14ac:dyDescent="0.45">
      <c r="A20" t="s">
        <v>55</v>
      </c>
      <c r="B20">
        <v>2024</v>
      </c>
      <c r="C20" t="s">
        <v>16</v>
      </c>
      <c r="D20">
        <v>69142</v>
      </c>
      <c r="E20">
        <v>69142</v>
      </c>
      <c r="F20">
        <v>0</v>
      </c>
      <c r="G20" s="5">
        <v>100</v>
      </c>
      <c r="H20">
        <v>65266</v>
      </c>
      <c r="I20">
        <v>88019</v>
      </c>
      <c r="J20">
        <v>105.9</v>
      </c>
      <c r="K20" s="2">
        <v>78.599999999999994</v>
      </c>
      <c r="L20" t="b">
        <v>1</v>
      </c>
      <c r="M20" t="b">
        <v>0</v>
      </c>
      <c r="N20" s="3" t="b">
        <v>1</v>
      </c>
      <c r="O20" t="s">
        <v>56</v>
      </c>
    </row>
    <row r="21" spans="1:15" x14ac:dyDescent="0.45">
      <c r="A21" t="s">
        <v>57</v>
      </c>
      <c r="B21">
        <v>2023</v>
      </c>
      <c r="C21" t="s">
        <v>16</v>
      </c>
      <c r="D21">
        <v>8162</v>
      </c>
      <c r="E21">
        <v>7900</v>
      </c>
      <c r="F21">
        <v>262</v>
      </c>
      <c r="G21" s="2">
        <v>96.8</v>
      </c>
      <c r="H21">
        <v>8241</v>
      </c>
      <c r="I21">
        <v>8847</v>
      </c>
      <c r="J21">
        <v>99</v>
      </c>
      <c r="K21" s="5">
        <v>92.3</v>
      </c>
      <c r="L21" t="b">
        <v>1</v>
      </c>
      <c r="M21" t="b">
        <v>0</v>
      </c>
      <c r="N21" s="3" t="b">
        <v>1</v>
      </c>
      <c r="O21" t="s">
        <v>58</v>
      </c>
    </row>
    <row r="22" spans="1:15" x14ac:dyDescent="0.45">
      <c r="A22" t="s">
        <v>59</v>
      </c>
      <c r="B22">
        <v>2024</v>
      </c>
      <c r="C22" t="s">
        <v>16</v>
      </c>
      <c r="D22">
        <v>5160</v>
      </c>
      <c r="E22">
        <v>5093</v>
      </c>
      <c r="F22">
        <v>67</v>
      </c>
      <c r="G22" s="5">
        <v>98.7</v>
      </c>
      <c r="H22">
        <v>5143</v>
      </c>
      <c r="I22">
        <v>6026</v>
      </c>
      <c r="J22">
        <v>100.3</v>
      </c>
      <c r="K22" s="5">
        <v>85.6</v>
      </c>
      <c r="L22" t="b">
        <v>1</v>
      </c>
      <c r="M22" t="b">
        <v>0</v>
      </c>
      <c r="N22" s="3" t="b">
        <v>1</v>
      </c>
      <c r="O22" t="s">
        <v>60</v>
      </c>
    </row>
    <row r="23" spans="1:15" x14ac:dyDescent="0.45">
      <c r="A23" t="s">
        <v>61</v>
      </c>
      <c r="B23">
        <v>2024</v>
      </c>
      <c r="C23" t="s">
        <v>62</v>
      </c>
      <c r="D23">
        <v>547</v>
      </c>
      <c r="E23">
        <v>547</v>
      </c>
      <c r="F23">
        <v>0</v>
      </c>
      <c r="G23" s="5">
        <v>100</v>
      </c>
      <c r="H23">
        <v>953</v>
      </c>
      <c r="I23">
        <v>958</v>
      </c>
      <c r="J23">
        <v>57.4</v>
      </c>
      <c r="K23" s="6">
        <v>57.1</v>
      </c>
      <c r="L23" t="b">
        <v>1</v>
      </c>
      <c r="M23" t="b">
        <v>1</v>
      </c>
      <c r="N23" t="b">
        <v>0</v>
      </c>
      <c r="O23" t="s">
        <v>63</v>
      </c>
    </row>
    <row r="24" spans="1:15" x14ac:dyDescent="0.45">
      <c r="A24" t="s">
        <v>64</v>
      </c>
      <c r="B24">
        <v>2024</v>
      </c>
      <c r="C24" t="s">
        <v>16</v>
      </c>
      <c r="D24">
        <v>2597</v>
      </c>
      <c r="E24">
        <v>2597</v>
      </c>
      <c r="F24">
        <v>0</v>
      </c>
      <c r="G24" s="5">
        <v>100</v>
      </c>
      <c r="H24">
        <v>2597</v>
      </c>
      <c r="I24">
        <v>2597</v>
      </c>
      <c r="J24">
        <v>100</v>
      </c>
      <c r="K24" s="5">
        <v>100</v>
      </c>
      <c r="L24" t="b">
        <v>1</v>
      </c>
      <c r="M24" t="b">
        <v>0</v>
      </c>
      <c r="N24" t="b">
        <v>0</v>
      </c>
      <c r="O24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70DE-892A-49BE-A5C4-294CAB256023}">
  <dimension ref="A1:D22"/>
  <sheetViews>
    <sheetView workbookViewId="0">
      <selection activeCell="B15" sqref="B15"/>
    </sheetView>
  </sheetViews>
  <sheetFormatPr defaultRowHeight="14.25" x14ac:dyDescent="0.45"/>
  <cols>
    <col min="2" max="2" width="20.06640625" customWidth="1"/>
    <col min="3" max="3" width="19.1328125" bestFit="1" customWidth="1"/>
  </cols>
  <sheetData>
    <row r="1" spans="1:4" x14ac:dyDescent="0.45">
      <c r="A1" t="s">
        <v>69</v>
      </c>
      <c r="B1" s="1" t="s">
        <v>67</v>
      </c>
      <c r="C1" s="1" t="s">
        <v>68</v>
      </c>
      <c r="D1" t="s">
        <v>70</v>
      </c>
    </row>
    <row r="2" spans="1:4" x14ac:dyDescent="0.45">
      <c r="A2" t="s">
        <v>27</v>
      </c>
      <c r="B2">
        <v>0</v>
      </c>
      <c r="C2">
        <v>106</v>
      </c>
      <c r="D2">
        <v>106</v>
      </c>
    </row>
    <row r="3" spans="1:4" x14ac:dyDescent="0.45">
      <c r="A3" t="s">
        <v>20</v>
      </c>
      <c r="B3">
        <v>303</v>
      </c>
      <c r="C3">
        <v>0</v>
      </c>
      <c r="D3">
        <v>303</v>
      </c>
    </row>
    <row r="4" spans="1:4" x14ac:dyDescent="0.45">
      <c r="A4" t="s">
        <v>61</v>
      </c>
      <c r="B4">
        <v>547</v>
      </c>
      <c r="C4">
        <v>0</v>
      </c>
      <c r="D4">
        <v>547</v>
      </c>
    </row>
    <row r="5" spans="1:4" x14ac:dyDescent="0.45">
      <c r="A5" t="s">
        <v>43</v>
      </c>
      <c r="B5">
        <v>874</v>
      </c>
      <c r="C5">
        <v>0</v>
      </c>
      <c r="D5">
        <v>874</v>
      </c>
    </row>
    <row r="6" spans="1:4" x14ac:dyDescent="0.45">
      <c r="A6" t="s">
        <v>49</v>
      </c>
      <c r="B6">
        <v>953</v>
      </c>
      <c r="C6">
        <v>2</v>
      </c>
      <c r="D6">
        <v>955</v>
      </c>
    </row>
    <row r="7" spans="1:4" x14ac:dyDescent="0.45">
      <c r="A7" t="s">
        <v>64</v>
      </c>
      <c r="B7">
        <v>2597</v>
      </c>
      <c r="C7">
        <v>0</v>
      </c>
      <c r="D7">
        <v>2597</v>
      </c>
    </row>
    <row r="8" spans="1:4" x14ac:dyDescent="0.45">
      <c r="A8" t="s">
        <v>53</v>
      </c>
      <c r="B8">
        <v>3107</v>
      </c>
      <c r="C8">
        <v>25</v>
      </c>
      <c r="D8">
        <v>3132</v>
      </c>
    </row>
    <row r="9" spans="1:4" x14ac:dyDescent="0.45">
      <c r="A9" t="s">
        <v>35</v>
      </c>
      <c r="B9">
        <v>4381</v>
      </c>
      <c r="C9">
        <v>37</v>
      </c>
      <c r="D9">
        <v>4418</v>
      </c>
    </row>
    <row r="10" spans="1:4" x14ac:dyDescent="0.45">
      <c r="A10" t="s">
        <v>59</v>
      </c>
      <c r="B10">
        <v>5093</v>
      </c>
      <c r="C10">
        <v>67</v>
      </c>
      <c r="D10">
        <v>5160</v>
      </c>
    </row>
    <row r="11" spans="1:4" x14ac:dyDescent="0.45">
      <c r="A11" t="s">
        <v>39</v>
      </c>
      <c r="B11">
        <v>6357</v>
      </c>
      <c r="C11">
        <v>25</v>
      </c>
      <c r="D11">
        <v>6382</v>
      </c>
    </row>
    <row r="12" spans="1:4" x14ac:dyDescent="0.45">
      <c r="A12" t="s">
        <v>37</v>
      </c>
      <c r="B12">
        <v>6294</v>
      </c>
      <c r="C12">
        <v>305</v>
      </c>
      <c r="D12">
        <v>6599</v>
      </c>
    </row>
    <row r="13" spans="1:4" x14ac:dyDescent="0.45">
      <c r="A13" t="s">
        <v>30</v>
      </c>
      <c r="B13">
        <v>7895</v>
      </c>
      <c r="C13">
        <v>0</v>
      </c>
      <c r="D13">
        <v>7895</v>
      </c>
    </row>
    <row r="14" spans="1:4" x14ac:dyDescent="0.45">
      <c r="A14" t="s">
        <v>57</v>
      </c>
      <c r="B14">
        <v>7900</v>
      </c>
      <c r="C14">
        <v>262</v>
      </c>
      <c r="D14">
        <v>8162</v>
      </c>
    </row>
    <row r="15" spans="1:4" x14ac:dyDescent="0.45">
      <c r="A15" t="s">
        <v>23</v>
      </c>
      <c r="B15">
        <v>15301</v>
      </c>
      <c r="C15">
        <v>28</v>
      </c>
      <c r="D15">
        <v>15329</v>
      </c>
    </row>
    <row r="16" spans="1:4" x14ac:dyDescent="0.45">
      <c r="A16" t="s">
        <v>45</v>
      </c>
      <c r="B16">
        <v>16234</v>
      </c>
      <c r="C16">
        <v>721</v>
      </c>
      <c r="D16">
        <v>16955</v>
      </c>
    </row>
    <row r="17" spans="1:4" x14ac:dyDescent="0.45">
      <c r="A17" t="s">
        <v>15</v>
      </c>
      <c r="B17">
        <v>34167</v>
      </c>
      <c r="C17">
        <v>1469</v>
      </c>
      <c r="D17">
        <v>35636</v>
      </c>
    </row>
    <row r="18" spans="1:4" x14ac:dyDescent="0.45">
      <c r="A18" t="s">
        <v>41</v>
      </c>
      <c r="B18">
        <v>35973</v>
      </c>
      <c r="C18">
        <v>0</v>
      </c>
      <c r="D18">
        <v>35973</v>
      </c>
    </row>
    <row r="19" spans="1:4" x14ac:dyDescent="0.45">
      <c r="A19" t="s">
        <v>33</v>
      </c>
      <c r="B19">
        <v>43259</v>
      </c>
      <c r="C19">
        <v>399</v>
      </c>
      <c r="D19">
        <v>43658</v>
      </c>
    </row>
    <row r="20" spans="1:4" x14ac:dyDescent="0.45">
      <c r="A20" t="s">
        <v>55</v>
      </c>
      <c r="B20">
        <v>69142</v>
      </c>
      <c r="C20">
        <v>0</v>
      </c>
      <c r="D20">
        <v>69142</v>
      </c>
    </row>
    <row r="21" spans="1:4" x14ac:dyDescent="0.45">
      <c r="A21" t="s">
        <v>25</v>
      </c>
      <c r="B21">
        <v>116542</v>
      </c>
      <c r="C21">
        <v>17876</v>
      </c>
      <c r="D21">
        <v>134418</v>
      </c>
    </row>
    <row r="22" spans="1:4" x14ac:dyDescent="0.45">
      <c r="A22" t="s">
        <v>51</v>
      </c>
      <c r="B22">
        <v>205848</v>
      </c>
      <c r="C22">
        <v>0</v>
      </c>
      <c r="D22">
        <v>205848</v>
      </c>
    </row>
  </sheetData>
  <autoFilter ref="A1:D1" xr:uid="{7F8170DE-892A-49BE-A5C4-294CAB256023}">
    <sortState xmlns:xlrd2="http://schemas.microsoft.com/office/spreadsheetml/2017/richdata2" ref="A2:D22">
      <sortCondition ref="D1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146F-8A56-492C-914A-A66AE34774DE}">
  <dimension ref="A1:U124"/>
  <sheetViews>
    <sheetView topLeftCell="A95" workbookViewId="0">
      <selection activeCell="Q99" sqref="Q99"/>
    </sheetView>
  </sheetViews>
  <sheetFormatPr defaultRowHeight="14.25" x14ac:dyDescent="0.45"/>
  <cols>
    <col min="1" max="1" width="9.796875" customWidth="1"/>
    <col min="2" max="2" width="13.1328125" hidden="1" customWidth="1"/>
    <col min="3" max="3" width="14.73046875" hidden="1" customWidth="1"/>
    <col min="4" max="4" width="15" hidden="1" customWidth="1"/>
    <col min="5" max="5" width="9" customWidth="1"/>
    <col min="6" max="6" width="10.1328125" customWidth="1"/>
    <col min="7" max="11" width="9" customWidth="1"/>
    <col min="12" max="12" width="14.46484375" customWidth="1"/>
    <col min="13" max="14" width="9" customWidth="1"/>
  </cols>
  <sheetData>
    <row r="1" spans="1:21" s="11" customFormat="1" ht="35.25" thickBot="1" x14ac:dyDescent="0.4">
      <c r="A1" s="13" t="s">
        <v>0</v>
      </c>
      <c r="B1" s="13" t="s">
        <v>86</v>
      </c>
      <c r="C1" s="13" t="s">
        <v>87</v>
      </c>
      <c r="D1" s="13" t="s">
        <v>80</v>
      </c>
      <c r="E1" s="13" t="s">
        <v>107</v>
      </c>
      <c r="F1" s="13" t="s">
        <v>108</v>
      </c>
      <c r="G1" s="13" t="s">
        <v>109</v>
      </c>
      <c r="H1" s="13"/>
      <c r="I1" s="13" t="s">
        <v>88</v>
      </c>
      <c r="J1" s="13" t="s">
        <v>80</v>
      </c>
      <c r="K1" s="13" t="s">
        <v>90</v>
      </c>
      <c r="L1" s="13" t="s">
        <v>91</v>
      </c>
      <c r="M1" s="13" t="s">
        <v>110</v>
      </c>
      <c r="N1" s="48" t="s">
        <v>77</v>
      </c>
      <c r="O1" s="49" t="s">
        <v>71</v>
      </c>
      <c r="P1" s="49" t="s">
        <v>78</v>
      </c>
      <c r="Q1" s="49" t="s">
        <v>71</v>
      </c>
      <c r="R1" s="49" t="s">
        <v>112</v>
      </c>
      <c r="S1" s="49" t="s">
        <v>79</v>
      </c>
      <c r="T1" s="50" t="s">
        <v>118</v>
      </c>
      <c r="U1" s="51" t="s">
        <v>117</v>
      </c>
    </row>
    <row r="2" spans="1:21" x14ac:dyDescent="0.45">
      <c r="A2" s="16" t="s">
        <v>15</v>
      </c>
      <c r="B2" s="15">
        <v>35636</v>
      </c>
      <c r="C2" s="17">
        <v>34166</v>
      </c>
      <c r="D2" s="14">
        <f>C2/B2*100</f>
        <v>95.874957907733744</v>
      </c>
      <c r="E2" s="17">
        <v>35368</v>
      </c>
      <c r="F2" s="17">
        <v>27953</v>
      </c>
      <c r="G2" s="17">
        <v>7415</v>
      </c>
      <c r="H2" s="17">
        <f>(F2+G2)-E2</f>
        <v>0</v>
      </c>
      <c r="I2" s="17">
        <v>34394</v>
      </c>
      <c r="J2" s="17">
        <f>I2/E2*100</f>
        <v>97.246098167835328</v>
      </c>
      <c r="K2" s="15" t="s">
        <v>92</v>
      </c>
      <c r="L2" s="23" t="s">
        <v>93</v>
      </c>
      <c r="M2" s="22">
        <v>2023</v>
      </c>
      <c r="N2" s="54">
        <v>36383</v>
      </c>
      <c r="O2" s="24">
        <f>+E2/N2*100</f>
        <v>97.210235549569859</v>
      </c>
      <c r="P2" s="25">
        <v>28262</v>
      </c>
      <c r="Q2" s="25">
        <f>+F2/P2*100</f>
        <v>98.906659118250644</v>
      </c>
      <c r="R2" s="25">
        <f>B2/N2*100</f>
        <v>97.946843305939595</v>
      </c>
      <c r="S2" s="26">
        <v>2024</v>
      </c>
      <c r="T2" s="27" t="s">
        <v>73</v>
      </c>
      <c r="U2" s="52">
        <v>27.900000000000006</v>
      </c>
    </row>
    <row r="3" spans="1:21" x14ac:dyDescent="0.45">
      <c r="A3" s="16" t="s">
        <v>20</v>
      </c>
      <c r="B3" s="15">
        <v>303</v>
      </c>
      <c r="C3" s="15">
        <v>303</v>
      </c>
      <c r="D3" s="14">
        <f t="shared" ref="D3:D23" si="0">C3/B3*100</f>
        <v>100</v>
      </c>
      <c r="E3" s="15">
        <v>273</v>
      </c>
      <c r="F3" s="18">
        <v>273</v>
      </c>
      <c r="G3" s="15">
        <v>0</v>
      </c>
      <c r="H3" s="17">
        <f t="shared" ref="H3:H22" si="1">(F3+G3)-E3</f>
        <v>0</v>
      </c>
      <c r="I3" s="15">
        <v>273</v>
      </c>
      <c r="J3" s="17">
        <f>I3/E3*100</f>
        <v>100</v>
      </c>
      <c r="K3" s="15" t="s">
        <v>94</v>
      </c>
      <c r="L3" s="23" t="s">
        <v>95</v>
      </c>
      <c r="M3" s="22"/>
      <c r="N3" s="54">
        <v>382</v>
      </c>
      <c r="O3" s="24">
        <f>+E3/N3*100</f>
        <v>71.465968586387433</v>
      </c>
      <c r="P3" s="25">
        <v>306</v>
      </c>
      <c r="Q3" s="25">
        <f>+F3/P3*100</f>
        <v>89.215686274509807</v>
      </c>
      <c r="R3" s="25">
        <f>B3/N3*100</f>
        <v>79.319371727748688</v>
      </c>
      <c r="S3" s="26">
        <v>2024</v>
      </c>
      <c r="T3" s="27" t="s">
        <v>73</v>
      </c>
      <c r="U3" s="52"/>
    </row>
    <row r="4" spans="1:21" x14ac:dyDescent="0.45">
      <c r="A4" s="16" t="s">
        <v>23</v>
      </c>
      <c r="B4" s="15">
        <v>15329</v>
      </c>
      <c r="C4" s="17">
        <v>15299</v>
      </c>
      <c r="D4" s="14">
        <f t="shared" si="0"/>
        <v>99.804292517450591</v>
      </c>
      <c r="E4" s="17">
        <v>15564</v>
      </c>
      <c r="F4" s="17">
        <v>14918</v>
      </c>
      <c r="G4" s="15">
        <v>646</v>
      </c>
      <c r="H4" s="17">
        <f t="shared" si="1"/>
        <v>0</v>
      </c>
      <c r="I4" s="17">
        <v>15533</v>
      </c>
      <c r="J4" s="17">
        <f>I4/E4*100</f>
        <v>99.800822410691339</v>
      </c>
      <c r="K4" s="15" t="s">
        <v>92</v>
      </c>
      <c r="L4" s="23" t="s">
        <v>96</v>
      </c>
      <c r="M4" s="22">
        <v>2023</v>
      </c>
      <c r="N4" s="54">
        <v>15480</v>
      </c>
      <c r="O4" s="24">
        <f>+E4/N4*100</f>
        <v>100.54263565891472</v>
      </c>
      <c r="P4" s="25">
        <v>14842</v>
      </c>
      <c r="Q4" s="25">
        <f>+F4/P4*100</f>
        <v>100.51206036922247</v>
      </c>
      <c r="R4" s="25">
        <f>B4/N4*100</f>
        <v>99.024547803617565</v>
      </c>
      <c r="S4" s="26">
        <v>2024</v>
      </c>
      <c r="T4" s="27" t="s">
        <v>81</v>
      </c>
      <c r="U4" s="52">
        <v>37.200000000000003</v>
      </c>
    </row>
    <row r="5" spans="1:21" x14ac:dyDescent="0.45">
      <c r="A5" s="16" t="s">
        <v>25</v>
      </c>
      <c r="B5" s="15">
        <v>134418</v>
      </c>
      <c r="C5" s="17">
        <v>116542</v>
      </c>
      <c r="D5" s="14">
        <f t="shared" si="0"/>
        <v>86.70118585308515</v>
      </c>
      <c r="E5" s="17">
        <v>129976</v>
      </c>
      <c r="F5" s="17">
        <v>104110</v>
      </c>
      <c r="G5" s="17">
        <v>25866</v>
      </c>
      <c r="H5" s="17">
        <f t="shared" si="1"/>
        <v>0</v>
      </c>
      <c r="I5" s="17">
        <v>103073</v>
      </c>
      <c r="J5" s="17">
        <f>I5/E5*100</f>
        <v>79.301563365544396</v>
      </c>
      <c r="K5" s="15" t="s">
        <v>92</v>
      </c>
      <c r="L5" s="23" t="s">
        <v>97</v>
      </c>
      <c r="M5" s="22">
        <v>2023</v>
      </c>
      <c r="N5" s="55">
        <v>129976</v>
      </c>
      <c r="O5" s="24">
        <f>+E5/N5*100</f>
        <v>100</v>
      </c>
      <c r="P5" s="25">
        <v>137020</v>
      </c>
      <c r="Q5" s="25">
        <f>+F5/P5*100</f>
        <v>75.981608524303027</v>
      </c>
      <c r="R5" s="25">
        <f>B5/N5*100</f>
        <v>103.41755400997108</v>
      </c>
      <c r="S5" s="26">
        <v>2023</v>
      </c>
      <c r="T5" s="27" t="s">
        <v>72</v>
      </c>
      <c r="U5" s="52">
        <v>30</v>
      </c>
    </row>
    <row r="6" spans="1:21" x14ac:dyDescent="0.45">
      <c r="A6" s="16" t="s">
        <v>27</v>
      </c>
      <c r="B6" s="15">
        <v>106</v>
      </c>
      <c r="C6" s="15">
        <v>106</v>
      </c>
      <c r="D6" s="14">
        <f t="shared" si="0"/>
        <v>100</v>
      </c>
      <c r="E6" s="15">
        <v>94</v>
      </c>
      <c r="F6" s="18">
        <v>94</v>
      </c>
      <c r="G6" s="15">
        <v>0</v>
      </c>
      <c r="H6" s="17">
        <f t="shared" si="1"/>
        <v>0</v>
      </c>
      <c r="I6" s="15">
        <v>94</v>
      </c>
      <c r="J6" s="17">
        <f>I6/E6*100</f>
        <v>100</v>
      </c>
      <c r="K6" s="15" t="s">
        <v>92</v>
      </c>
      <c r="L6" s="23" t="s">
        <v>98</v>
      </c>
      <c r="M6" s="22">
        <v>2024</v>
      </c>
      <c r="N6" s="54">
        <f>68+30+21+10</f>
        <v>129</v>
      </c>
      <c r="O6" s="24">
        <f>+E6/N6*100</f>
        <v>72.868217054263567</v>
      </c>
      <c r="P6" s="25">
        <f>68+21</f>
        <v>89</v>
      </c>
      <c r="Q6" s="25">
        <f>+F6/P6*100</f>
        <v>105.61797752808988</v>
      </c>
      <c r="R6" s="25">
        <f>B6/N6*100</f>
        <v>82.170542635658919</v>
      </c>
      <c r="S6" s="26">
        <v>2025</v>
      </c>
      <c r="T6" s="27" t="s">
        <v>82</v>
      </c>
      <c r="U6" s="52">
        <v>14.400000000000006</v>
      </c>
    </row>
    <row r="7" spans="1:21" x14ac:dyDescent="0.45">
      <c r="A7" s="16" t="s">
        <v>30</v>
      </c>
      <c r="B7" s="15">
        <v>7895</v>
      </c>
      <c r="C7" s="17">
        <v>7895</v>
      </c>
      <c r="D7" s="14">
        <f t="shared" si="0"/>
        <v>100</v>
      </c>
      <c r="E7" s="17">
        <v>8444</v>
      </c>
      <c r="F7" s="17">
        <v>5190</v>
      </c>
      <c r="G7" s="17">
        <v>3254</v>
      </c>
      <c r="H7" s="17">
        <f t="shared" si="1"/>
        <v>0</v>
      </c>
      <c r="I7" s="17">
        <v>8438</v>
      </c>
      <c r="J7" s="17">
        <f>I7/E7*100</f>
        <v>99.928943628612032</v>
      </c>
      <c r="K7" s="15" t="s">
        <v>92</v>
      </c>
      <c r="L7" s="23" t="s">
        <v>99</v>
      </c>
      <c r="M7" s="22">
        <v>2023</v>
      </c>
      <c r="N7" s="56">
        <v>11123</v>
      </c>
      <c r="O7" s="28">
        <f>+E7/N7*100</f>
        <v>75.91477119482154</v>
      </c>
      <c r="P7" s="29">
        <f>+N7-5480+611</f>
        <v>6254</v>
      </c>
      <c r="Q7" s="25">
        <f>+F7/P7*100</f>
        <v>82.986888391429474</v>
      </c>
      <c r="R7" s="25">
        <f>B7/N7*100</f>
        <v>70.979052413917117</v>
      </c>
      <c r="S7" s="26">
        <v>2023</v>
      </c>
      <c r="T7" s="27" t="s">
        <v>113</v>
      </c>
      <c r="U7" s="52"/>
    </row>
    <row r="8" spans="1:21" x14ac:dyDescent="0.45">
      <c r="A8" s="16" t="s">
        <v>33</v>
      </c>
      <c r="B8" s="15">
        <v>43658</v>
      </c>
      <c r="C8" s="17">
        <v>43259</v>
      </c>
      <c r="D8" s="14">
        <f t="shared" si="0"/>
        <v>99.086078152915846</v>
      </c>
      <c r="E8" s="17">
        <v>48209</v>
      </c>
      <c r="F8" s="17">
        <v>42538</v>
      </c>
      <c r="G8" s="17">
        <v>5671</v>
      </c>
      <c r="H8" s="17">
        <f t="shared" si="1"/>
        <v>0</v>
      </c>
      <c r="I8" s="17">
        <v>47587</v>
      </c>
      <c r="J8" s="17">
        <f>I8/E8*100</f>
        <v>98.709784480076337</v>
      </c>
      <c r="K8" s="15" t="s">
        <v>92</v>
      </c>
      <c r="L8" s="23" t="s">
        <v>100</v>
      </c>
      <c r="M8" s="22">
        <v>2023</v>
      </c>
      <c r="N8" s="54">
        <f>43622+9593</f>
        <v>53215</v>
      </c>
      <c r="O8" s="24">
        <f>+E8/N8*100</f>
        <v>90.592877947947002</v>
      </c>
      <c r="P8" s="25">
        <v>43622</v>
      </c>
      <c r="Q8" s="25">
        <f>+F8/P8*100</f>
        <v>97.515015359222417</v>
      </c>
      <c r="R8" s="25">
        <f>B8/N8*100</f>
        <v>82.040777976134549</v>
      </c>
      <c r="S8" s="26">
        <v>2024</v>
      </c>
      <c r="T8" s="27" t="s">
        <v>72</v>
      </c>
      <c r="U8" s="52">
        <v>23.5</v>
      </c>
    </row>
    <row r="9" spans="1:21" x14ac:dyDescent="0.45">
      <c r="A9" s="16" t="s">
        <v>35</v>
      </c>
      <c r="B9" s="15">
        <v>4418</v>
      </c>
      <c r="C9" s="17">
        <v>4381</v>
      </c>
      <c r="D9" s="14">
        <f t="shared" si="0"/>
        <v>99.16251697600724</v>
      </c>
      <c r="E9" s="17">
        <v>4351</v>
      </c>
      <c r="F9" s="17">
        <v>4350</v>
      </c>
      <c r="G9" s="15">
        <v>1</v>
      </c>
      <c r="H9" s="17">
        <f t="shared" si="1"/>
        <v>0</v>
      </c>
      <c r="I9" s="17">
        <v>4279</v>
      </c>
      <c r="J9" s="17">
        <f>I9/E9*100</f>
        <v>98.345207998161342</v>
      </c>
      <c r="K9" s="15" t="s">
        <v>92</v>
      </c>
      <c r="L9" s="23" t="s">
        <v>101</v>
      </c>
      <c r="M9" s="22">
        <v>2024</v>
      </c>
      <c r="N9" s="54">
        <v>4870</v>
      </c>
      <c r="O9" s="24">
        <f>+E9/N9*100</f>
        <v>89.342915811088304</v>
      </c>
      <c r="P9" s="25">
        <v>4266</v>
      </c>
      <c r="Q9" s="25">
        <f>+F9/P9*100</f>
        <v>101.96905766526018</v>
      </c>
      <c r="R9" s="25">
        <f>B9/N9*100</f>
        <v>90.718685831622182</v>
      </c>
      <c r="S9" s="26">
        <v>2025</v>
      </c>
      <c r="T9" s="27" t="s">
        <v>116</v>
      </c>
      <c r="U9" s="52">
        <v>19.400000000000006</v>
      </c>
    </row>
    <row r="10" spans="1:21" x14ac:dyDescent="0.45">
      <c r="A10" s="16" t="s">
        <v>37</v>
      </c>
      <c r="B10" s="15">
        <v>6599</v>
      </c>
      <c r="C10" s="17">
        <v>6294</v>
      </c>
      <c r="D10" s="14">
        <f t="shared" si="0"/>
        <v>95.378087589028638</v>
      </c>
      <c r="E10" s="17">
        <v>8980</v>
      </c>
      <c r="F10" s="17">
        <v>6480</v>
      </c>
      <c r="G10" s="17">
        <v>2500</v>
      </c>
      <c r="H10" s="17">
        <f t="shared" si="1"/>
        <v>0</v>
      </c>
      <c r="I10" s="17">
        <v>6244</v>
      </c>
      <c r="J10" s="17">
        <f>I10/E10*100</f>
        <v>69.532293986636972</v>
      </c>
      <c r="K10" s="15" t="s">
        <v>94</v>
      </c>
      <c r="L10" s="23" t="s">
        <v>100</v>
      </c>
      <c r="M10" s="22" t="s">
        <v>111</v>
      </c>
      <c r="N10" s="55">
        <f>10615-1229-261</f>
        <v>9125</v>
      </c>
      <c r="O10" s="24">
        <f>+E10/N10*100</f>
        <v>98.410958904109592</v>
      </c>
      <c r="P10" s="30">
        <f>7761</f>
        <v>7761</v>
      </c>
      <c r="Q10" s="25">
        <f>+F10/P10*100</f>
        <v>83.494395052184004</v>
      </c>
      <c r="R10" s="25">
        <f>B10/N10*100</f>
        <v>72.317808219178076</v>
      </c>
      <c r="S10" s="26" t="s">
        <v>111</v>
      </c>
      <c r="T10" s="27" t="s">
        <v>115</v>
      </c>
      <c r="U10" s="52">
        <v>29.5</v>
      </c>
    </row>
    <row r="11" spans="1:21" x14ac:dyDescent="0.45">
      <c r="A11" s="16" t="s">
        <v>39</v>
      </c>
      <c r="B11" s="15">
        <v>6382</v>
      </c>
      <c r="C11" s="17">
        <v>6357</v>
      </c>
      <c r="D11" s="14">
        <f t="shared" si="0"/>
        <v>99.608273268567842</v>
      </c>
      <c r="E11" s="17">
        <v>16215</v>
      </c>
      <c r="F11" s="17">
        <v>13077</v>
      </c>
      <c r="G11" s="17">
        <v>3138</v>
      </c>
      <c r="H11" s="17">
        <f t="shared" si="1"/>
        <v>0</v>
      </c>
      <c r="I11" s="17">
        <v>15688</v>
      </c>
      <c r="J11" s="17">
        <f>I11/E11*100</f>
        <v>96.749922910884976</v>
      </c>
      <c r="K11" s="15" t="s">
        <v>94</v>
      </c>
      <c r="L11" s="23" t="s">
        <v>102</v>
      </c>
      <c r="M11" s="22" t="s">
        <v>111</v>
      </c>
      <c r="N11" s="55">
        <v>16016</v>
      </c>
      <c r="O11" s="24">
        <f>+E11/N11*100</f>
        <v>101.2425074925075</v>
      </c>
      <c r="P11" s="30">
        <v>13043</v>
      </c>
      <c r="Q11" s="25">
        <f>+F11/P11*100</f>
        <v>100.26067622479491</v>
      </c>
      <c r="R11" s="25">
        <f>B11/N11*100</f>
        <v>39.847652347652343</v>
      </c>
      <c r="S11" s="26" t="s">
        <v>76</v>
      </c>
      <c r="T11" s="27" t="s">
        <v>72</v>
      </c>
      <c r="U11" s="52"/>
    </row>
    <row r="12" spans="1:21" x14ac:dyDescent="0.45">
      <c r="A12" s="16" t="s">
        <v>41</v>
      </c>
      <c r="B12" s="15">
        <v>35973</v>
      </c>
      <c r="C12" s="17">
        <v>35973</v>
      </c>
      <c r="D12" s="14">
        <f t="shared" si="0"/>
        <v>100</v>
      </c>
      <c r="E12" s="17">
        <v>21717</v>
      </c>
      <c r="F12" s="17">
        <v>21715</v>
      </c>
      <c r="G12" s="15">
        <v>2</v>
      </c>
      <c r="H12" s="17">
        <f t="shared" si="1"/>
        <v>0</v>
      </c>
      <c r="I12" s="17">
        <v>21717</v>
      </c>
      <c r="J12" s="17">
        <f>I12/E12*100</f>
        <v>100</v>
      </c>
      <c r="K12" s="15" t="s">
        <v>92</v>
      </c>
      <c r="L12" s="23" t="s">
        <v>100</v>
      </c>
      <c r="M12" s="22">
        <v>2024</v>
      </c>
      <c r="N12" s="54">
        <f>19373+8462+5108</f>
        <v>32943</v>
      </c>
      <c r="O12" s="31">
        <f>+E12/N12*100</f>
        <v>65.922957836262626</v>
      </c>
      <c r="P12" s="25">
        <v>22107</v>
      </c>
      <c r="Q12" s="25">
        <f>+F12/P12*100</f>
        <v>98.226805989053247</v>
      </c>
      <c r="R12" s="25">
        <f>B12/N12*100</f>
        <v>109.19770512703761</v>
      </c>
      <c r="S12" s="26">
        <v>2025</v>
      </c>
      <c r="T12" s="27" t="s">
        <v>84</v>
      </c>
      <c r="U12" s="52">
        <v>22.9</v>
      </c>
    </row>
    <row r="13" spans="1:21" x14ac:dyDescent="0.45">
      <c r="A13" s="16" t="s">
        <v>43</v>
      </c>
      <c r="B13" s="15">
        <v>874</v>
      </c>
      <c r="C13" s="15">
        <v>874</v>
      </c>
      <c r="D13" s="14">
        <f t="shared" si="0"/>
        <v>100</v>
      </c>
      <c r="E13" s="15">
        <v>546</v>
      </c>
      <c r="F13" s="18">
        <v>546</v>
      </c>
      <c r="G13" s="15">
        <v>0</v>
      </c>
      <c r="H13" s="17">
        <f t="shared" si="1"/>
        <v>0</v>
      </c>
      <c r="I13" s="15">
        <v>545</v>
      </c>
      <c r="J13" s="17">
        <f>I13/E13*100</f>
        <v>99.81684981684981</v>
      </c>
      <c r="K13" s="15" t="s">
        <v>92</v>
      </c>
      <c r="L13" s="23" t="s">
        <v>103</v>
      </c>
      <c r="M13" s="22">
        <v>2022</v>
      </c>
      <c r="N13" s="57">
        <v>591</v>
      </c>
      <c r="O13" s="32">
        <f>+E13/N13*100</f>
        <v>92.385786802030452</v>
      </c>
      <c r="P13" s="33"/>
      <c r="Q13" s="25"/>
      <c r="R13" s="25"/>
      <c r="S13" s="26"/>
      <c r="T13" s="27"/>
      <c r="U13" s="52"/>
    </row>
    <row r="14" spans="1:21" x14ac:dyDescent="0.45">
      <c r="A14" s="16" t="s">
        <v>45</v>
      </c>
      <c r="B14" s="15">
        <v>16955</v>
      </c>
      <c r="C14" s="17">
        <v>16234</v>
      </c>
      <c r="D14" s="14">
        <f t="shared" si="0"/>
        <v>95.747567089354163</v>
      </c>
      <c r="E14" s="17">
        <f>10225+981+432</f>
        <v>11638</v>
      </c>
      <c r="F14" s="17">
        <f>10225+981+432</f>
        <v>11638</v>
      </c>
      <c r="G14" s="15">
        <v>0</v>
      </c>
      <c r="H14" s="17">
        <f t="shared" si="1"/>
        <v>0</v>
      </c>
      <c r="I14" s="17">
        <v>16336</v>
      </c>
      <c r="J14" s="17">
        <f>I14/E14*100</f>
        <v>140.3677607836398</v>
      </c>
      <c r="K14" s="15" t="s">
        <v>92</v>
      </c>
      <c r="L14" s="23" t="s">
        <v>100</v>
      </c>
      <c r="M14" s="22">
        <v>2020</v>
      </c>
      <c r="N14" s="54">
        <v>17428</v>
      </c>
      <c r="O14" s="24">
        <f>+E14/N14*100</f>
        <v>66.777599265549696</v>
      </c>
      <c r="P14" s="25"/>
      <c r="Q14" s="25"/>
      <c r="R14" s="25"/>
      <c r="S14" s="26"/>
      <c r="T14" s="27"/>
      <c r="U14" s="52">
        <v>14.299999999999997</v>
      </c>
    </row>
    <row r="15" spans="1:21" x14ac:dyDescent="0.45">
      <c r="A15" s="16" t="s">
        <v>49</v>
      </c>
      <c r="B15" s="15">
        <v>955</v>
      </c>
      <c r="C15" s="15">
        <v>953</v>
      </c>
      <c r="D15" s="14">
        <f t="shared" si="0"/>
        <v>99.790575916230367</v>
      </c>
      <c r="E15" s="15">
        <v>914</v>
      </c>
      <c r="F15" s="21"/>
      <c r="G15" s="20"/>
      <c r="H15" s="17"/>
      <c r="I15" s="15">
        <v>912</v>
      </c>
      <c r="J15" s="17">
        <f>I15/E15*100</f>
        <v>99.781181619256017</v>
      </c>
      <c r="K15" s="15" t="s">
        <v>94</v>
      </c>
      <c r="L15" s="23" t="s">
        <v>98</v>
      </c>
      <c r="M15" s="22">
        <v>2023</v>
      </c>
      <c r="N15" s="57">
        <v>916</v>
      </c>
      <c r="O15" s="35">
        <f>+E15/N15*100</f>
        <v>99.78165938864629</v>
      </c>
      <c r="P15" s="33">
        <f>+N15-83</f>
        <v>833</v>
      </c>
      <c r="Q15" s="25">
        <f>+F15/P15*100</f>
        <v>0</v>
      </c>
      <c r="R15" s="25">
        <f>B15/N15*100</f>
        <v>104.25764192139737</v>
      </c>
      <c r="S15" s="26">
        <v>2019</v>
      </c>
      <c r="T15" s="27" t="s">
        <v>85</v>
      </c>
      <c r="U15" s="52"/>
    </row>
    <row r="16" spans="1:21" x14ac:dyDescent="0.45">
      <c r="A16" s="16" t="s">
        <v>51</v>
      </c>
      <c r="B16" s="15">
        <v>205848</v>
      </c>
      <c r="C16" s="17">
        <v>205848</v>
      </c>
      <c r="D16" s="14">
        <f t="shared" si="0"/>
        <v>100</v>
      </c>
      <c r="E16" s="17">
        <v>156830</v>
      </c>
      <c r="F16" s="17">
        <v>135831</v>
      </c>
      <c r="G16" s="17">
        <v>20999</v>
      </c>
      <c r="H16" s="17">
        <f t="shared" si="1"/>
        <v>0</v>
      </c>
      <c r="I16" s="17">
        <v>156830</v>
      </c>
      <c r="J16" s="17">
        <f>I16/E16*100</f>
        <v>100</v>
      </c>
      <c r="K16" s="15" t="s">
        <v>92</v>
      </c>
      <c r="L16" s="23" t="s">
        <v>100</v>
      </c>
      <c r="M16" s="22" t="s">
        <v>111</v>
      </c>
      <c r="N16" s="55">
        <f>96449+42246+20717</f>
        <v>159412</v>
      </c>
      <c r="O16" s="24">
        <f>+E16/N16*100</f>
        <v>98.380297593656678</v>
      </c>
      <c r="P16" s="25">
        <f>87260+36530+14375</f>
        <v>138165</v>
      </c>
      <c r="Q16" s="25">
        <f>+F16/P16*100</f>
        <v>98.310715448919765</v>
      </c>
      <c r="R16" s="25">
        <f>B16/N16*100</f>
        <v>129.12955110029358</v>
      </c>
      <c r="S16" s="36" t="s">
        <v>111</v>
      </c>
      <c r="T16" s="27" t="s">
        <v>114</v>
      </c>
      <c r="U16" s="52">
        <v>13.900000000000006</v>
      </c>
    </row>
    <row r="17" spans="1:21" x14ac:dyDescent="0.45">
      <c r="A17" s="16" t="s">
        <v>53</v>
      </c>
      <c r="B17" s="15">
        <v>3132</v>
      </c>
      <c r="C17" s="17">
        <v>3107</v>
      </c>
      <c r="D17" s="14">
        <f t="shared" si="0"/>
        <v>99.201787994891447</v>
      </c>
      <c r="E17" s="17">
        <v>3615</v>
      </c>
      <c r="F17" s="17">
        <v>3090</v>
      </c>
      <c r="G17" s="15">
        <v>525</v>
      </c>
      <c r="H17" s="17">
        <f t="shared" si="1"/>
        <v>0</v>
      </c>
      <c r="I17" s="17">
        <v>3068</v>
      </c>
      <c r="J17" s="17">
        <f>I17/E17*100</f>
        <v>84.868603042876899</v>
      </c>
      <c r="K17" s="15" t="s">
        <v>94</v>
      </c>
      <c r="L17" s="23" t="s">
        <v>104</v>
      </c>
      <c r="M17" s="22">
        <v>2024</v>
      </c>
      <c r="N17" s="54">
        <v>3615</v>
      </c>
      <c r="O17" s="37">
        <f>+E17/N17*100</f>
        <v>100</v>
      </c>
      <c r="P17" s="25">
        <v>3090</v>
      </c>
      <c r="Q17" s="25">
        <f>+F17/P17*100</f>
        <v>100</v>
      </c>
      <c r="R17" s="25">
        <f>B17/N17*100</f>
        <v>86.639004149377598</v>
      </c>
      <c r="S17" s="26"/>
      <c r="T17" s="27"/>
      <c r="U17" s="52">
        <v>16</v>
      </c>
    </row>
    <row r="18" spans="1:21" x14ac:dyDescent="0.45">
      <c r="A18" s="16" t="s">
        <v>55</v>
      </c>
      <c r="B18" s="15">
        <v>69142</v>
      </c>
      <c r="C18" s="17">
        <v>69142</v>
      </c>
      <c r="D18" s="14">
        <f t="shared" si="0"/>
        <v>100</v>
      </c>
      <c r="E18" s="17">
        <v>53342</v>
      </c>
      <c r="F18" s="17">
        <v>40153</v>
      </c>
      <c r="G18" s="17">
        <v>13189</v>
      </c>
      <c r="H18" s="17">
        <f t="shared" si="1"/>
        <v>0</v>
      </c>
      <c r="I18" s="17">
        <v>53342</v>
      </c>
      <c r="J18" s="17">
        <f>I18/E18*100</f>
        <v>100</v>
      </c>
      <c r="K18" s="15" t="s">
        <v>92</v>
      </c>
      <c r="L18" s="23" t="s">
        <v>101</v>
      </c>
      <c r="M18" s="22">
        <v>2024</v>
      </c>
      <c r="N18" s="54">
        <f>38338+15700</f>
        <v>54038</v>
      </c>
      <c r="O18" s="24">
        <f>+E18/N18*100</f>
        <v>98.712017469188353</v>
      </c>
      <c r="P18" s="25">
        <f>30021+10468</f>
        <v>40489</v>
      </c>
      <c r="Q18" s="25">
        <f>+F18/P18*100</f>
        <v>99.170144977648249</v>
      </c>
      <c r="R18" s="25">
        <f>B18/N18*100</f>
        <v>127.95070135830342</v>
      </c>
      <c r="S18" s="26">
        <v>2025</v>
      </c>
      <c r="T18" s="27" t="s">
        <v>83</v>
      </c>
      <c r="U18" s="52">
        <v>28.900000000000006</v>
      </c>
    </row>
    <row r="19" spans="1:21" x14ac:dyDescent="0.45">
      <c r="A19" s="16" t="s">
        <v>57</v>
      </c>
      <c r="B19" s="15">
        <v>8162</v>
      </c>
      <c r="C19" s="17">
        <v>7900</v>
      </c>
      <c r="D19" s="14">
        <f t="shared" si="0"/>
        <v>96.790002450379802</v>
      </c>
      <c r="E19" s="17">
        <v>7628</v>
      </c>
      <c r="F19" s="17">
        <v>7047</v>
      </c>
      <c r="G19" s="15">
        <v>581</v>
      </c>
      <c r="H19" s="17">
        <f t="shared" si="1"/>
        <v>0</v>
      </c>
      <c r="I19" s="17">
        <v>7275</v>
      </c>
      <c r="J19" s="17">
        <f>I19/E19*100</f>
        <v>95.372312532773989</v>
      </c>
      <c r="K19" s="15" t="s">
        <v>94</v>
      </c>
      <c r="L19" s="23" t="s">
        <v>105</v>
      </c>
      <c r="M19" s="22">
        <v>2023</v>
      </c>
      <c r="N19" s="54">
        <v>8847</v>
      </c>
      <c r="O19" s="34">
        <f>+E19/N19*100</f>
        <v>86.221317960890701</v>
      </c>
      <c r="P19" s="25"/>
      <c r="Q19" s="25"/>
      <c r="R19" s="25">
        <f>B19/N19*100</f>
        <v>92.257262348818813</v>
      </c>
      <c r="S19" s="26"/>
      <c r="T19" s="27"/>
      <c r="U19" s="52">
        <v>25.900000000000006</v>
      </c>
    </row>
    <row r="20" spans="1:21" x14ac:dyDescent="0.45">
      <c r="A20" s="16" t="s">
        <v>59</v>
      </c>
      <c r="B20" s="15">
        <v>5160</v>
      </c>
      <c r="C20" s="17">
        <v>5093</v>
      </c>
      <c r="D20" s="14">
        <f t="shared" si="0"/>
        <v>98.70155038759691</v>
      </c>
      <c r="E20" s="17">
        <v>5763</v>
      </c>
      <c r="F20" s="17">
        <v>4880</v>
      </c>
      <c r="G20" s="15">
        <v>883</v>
      </c>
      <c r="H20" s="17">
        <f t="shared" si="1"/>
        <v>0</v>
      </c>
      <c r="I20" s="17">
        <v>5637</v>
      </c>
      <c r="J20" s="17">
        <f>I20/E20*100</f>
        <v>97.813638729828213</v>
      </c>
      <c r="K20" s="15" t="s">
        <v>92</v>
      </c>
      <c r="L20" s="23" t="s">
        <v>100</v>
      </c>
      <c r="M20" s="22">
        <v>2024</v>
      </c>
      <c r="N20" s="54">
        <v>5885</v>
      </c>
      <c r="O20" s="24">
        <f>+E20/N20*100</f>
        <v>97.926932880203907</v>
      </c>
      <c r="P20" s="25">
        <v>5161</v>
      </c>
      <c r="Q20" s="25">
        <f>+F20/P20*100</f>
        <v>94.555318736678942</v>
      </c>
      <c r="R20" s="25">
        <f>B20/N20*100</f>
        <v>87.680543755310111</v>
      </c>
      <c r="S20" s="26">
        <v>2024</v>
      </c>
      <c r="T20" s="27" t="s">
        <v>73</v>
      </c>
      <c r="U20" s="52">
        <v>21.799999999999997</v>
      </c>
    </row>
    <row r="21" spans="1:21" x14ac:dyDescent="0.45">
      <c r="A21" s="16" t="s">
        <v>61</v>
      </c>
      <c r="B21" s="15">
        <v>547</v>
      </c>
      <c r="C21" s="15">
        <v>547</v>
      </c>
      <c r="D21" s="14">
        <f t="shared" si="0"/>
        <v>100</v>
      </c>
      <c r="E21" s="15">
        <v>572</v>
      </c>
      <c r="F21" s="15">
        <v>567</v>
      </c>
      <c r="G21" s="15">
        <v>5</v>
      </c>
      <c r="H21" s="17">
        <f t="shared" si="1"/>
        <v>0</v>
      </c>
      <c r="I21" s="15">
        <v>572</v>
      </c>
      <c r="J21" s="17">
        <f>I21/E21*100</f>
        <v>100</v>
      </c>
      <c r="K21" s="15" t="s">
        <v>92</v>
      </c>
      <c r="L21" s="23" t="s">
        <v>105</v>
      </c>
      <c r="M21" s="22">
        <v>2024</v>
      </c>
      <c r="N21" s="58">
        <v>597</v>
      </c>
      <c r="O21" s="38">
        <f>+E21/N21*100</f>
        <v>95.812395309882746</v>
      </c>
      <c r="P21" s="25"/>
      <c r="Q21" s="25"/>
      <c r="R21" s="25">
        <f>B21/N21*100</f>
        <v>91.624790619765491</v>
      </c>
      <c r="S21" s="26"/>
      <c r="T21" s="27" t="s">
        <v>74</v>
      </c>
      <c r="U21" s="52">
        <v>20.200000000000003</v>
      </c>
    </row>
    <row r="22" spans="1:21" ht="14.65" thickBot="1" x14ac:dyDescent="0.5">
      <c r="A22" s="16" t="s">
        <v>64</v>
      </c>
      <c r="B22" s="15">
        <v>2597</v>
      </c>
      <c r="C22" s="17">
        <v>2597</v>
      </c>
      <c r="D22" s="14">
        <f t="shared" si="0"/>
        <v>100</v>
      </c>
      <c r="E22" s="17">
        <v>2611</v>
      </c>
      <c r="F22" s="19">
        <v>2611</v>
      </c>
      <c r="G22" s="15">
        <v>0</v>
      </c>
      <c r="H22" s="17">
        <f t="shared" si="1"/>
        <v>0</v>
      </c>
      <c r="I22" s="17">
        <v>2611</v>
      </c>
      <c r="J22" s="17">
        <f>I22/E22*100</f>
        <v>100</v>
      </c>
      <c r="K22" s="15" t="s">
        <v>92</v>
      </c>
      <c r="L22" s="23" t="s">
        <v>106</v>
      </c>
      <c r="M22" s="22">
        <v>2024</v>
      </c>
      <c r="N22" s="59">
        <f>2261+309+350+217</f>
        <v>3137</v>
      </c>
      <c r="O22" s="43">
        <f>+E22/N22*100</f>
        <v>83.232387631495058</v>
      </c>
      <c r="P22" s="44">
        <f>2261+309</f>
        <v>2570</v>
      </c>
      <c r="Q22" s="45">
        <f>+F22/P22*100</f>
        <v>101.59533073929961</v>
      </c>
      <c r="R22" s="45">
        <f>B22/N22*100</f>
        <v>82.786101370736375</v>
      </c>
      <c r="S22" s="46">
        <v>2024</v>
      </c>
      <c r="T22" s="47" t="s">
        <v>75</v>
      </c>
      <c r="U22" s="52">
        <v>20.599999999999994</v>
      </c>
    </row>
    <row r="23" spans="1:21" ht="14.65" thickBot="1" x14ac:dyDescent="0.5">
      <c r="A23" s="61" t="s">
        <v>70</v>
      </c>
      <c r="B23" s="62">
        <f>SUM(B2:B22)</f>
        <v>604089</v>
      </c>
      <c r="C23" s="62">
        <f t="shared" ref="C23:E23" si="2">SUM(C2:C22)</f>
        <v>582870</v>
      </c>
      <c r="D23" s="63">
        <f t="shared" si="0"/>
        <v>96.487438109285222</v>
      </c>
      <c r="E23" s="62">
        <f t="shared" si="2"/>
        <v>532650</v>
      </c>
      <c r="F23" s="64">
        <f>SUM(F2:F22)</f>
        <v>447061</v>
      </c>
      <c r="G23" s="64">
        <f>SUM(G2:G22)</f>
        <v>84675</v>
      </c>
      <c r="H23" s="62"/>
      <c r="I23" s="62">
        <f>SUM(I2:I22)</f>
        <v>504448</v>
      </c>
      <c r="J23" s="64">
        <f>I23/E23*100</f>
        <v>94.705341218436118</v>
      </c>
      <c r="K23" s="62"/>
      <c r="L23" s="62"/>
      <c r="M23" s="65"/>
      <c r="N23" s="60">
        <f>SUM(N2:N22)</f>
        <v>564108</v>
      </c>
      <c r="O23" s="39">
        <f>+E23/N23*100</f>
        <v>94.423408283520175</v>
      </c>
      <c r="P23" s="40"/>
      <c r="Q23" s="40"/>
      <c r="R23" s="40"/>
      <c r="S23" s="41"/>
      <c r="T23" s="42"/>
      <c r="U23" s="53"/>
    </row>
    <row r="24" spans="1:21" x14ac:dyDescent="0.45">
      <c r="E24" s="9"/>
      <c r="N24" s="11"/>
    </row>
    <row r="25" spans="1:21" x14ac:dyDescent="0.45">
      <c r="A25" s="66" t="s">
        <v>89</v>
      </c>
      <c r="E25" t="s">
        <v>119</v>
      </c>
      <c r="F25" t="s">
        <v>120</v>
      </c>
      <c r="G25" t="s">
        <v>70</v>
      </c>
      <c r="H25" t="s">
        <v>121</v>
      </c>
      <c r="I25" t="s">
        <v>122</v>
      </c>
      <c r="J25" t="s">
        <v>121</v>
      </c>
      <c r="K25" t="s">
        <v>122</v>
      </c>
      <c r="M25" t="s">
        <v>126</v>
      </c>
      <c r="N25" t="s">
        <v>127</v>
      </c>
    </row>
    <row r="26" spans="1:21" x14ac:dyDescent="0.45">
      <c r="A26" s="16" t="s">
        <v>27</v>
      </c>
      <c r="E26">
        <v>9.4E-2</v>
      </c>
      <c r="F26">
        <v>0</v>
      </c>
      <c r="G26">
        <v>9.4E-2</v>
      </c>
      <c r="H26" s="8">
        <v>9.4E-2</v>
      </c>
      <c r="I26" s="8">
        <f>G26-H26</f>
        <v>0</v>
      </c>
      <c r="J26" s="10">
        <f>+H26/G26*100</f>
        <v>100</v>
      </c>
      <c r="K26" s="10">
        <f>100-J26</f>
        <v>0</v>
      </c>
      <c r="M26" s="10">
        <f>+E26/G26*100</f>
        <v>100</v>
      </c>
      <c r="N26" s="10">
        <f>+F26/G26*100</f>
        <v>0</v>
      </c>
    </row>
    <row r="27" spans="1:21" x14ac:dyDescent="0.45">
      <c r="A27" s="16" t="s">
        <v>20</v>
      </c>
      <c r="E27">
        <v>0.27300000000000002</v>
      </c>
      <c r="F27">
        <v>0</v>
      </c>
      <c r="G27">
        <v>0.27300000000000002</v>
      </c>
      <c r="H27" s="8">
        <v>0.27300000000000002</v>
      </c>
      <c r="I27" s="8">
        <f t="shared" ref="I27:I46" si="3">G27-H27</f>
        <v>0</v>
      </c>
      <c r="J27" s="10">
        <f t="shared" ref="J27:J47" si="4">+H27/G27*100</f>
        <v>100</v>
      </c>
      <c r="K27" s="10">
        <f t="shared" ref="K27:K47" si="5">100-J27</f>
        <v>0</v>
      </c>
      <c r="M27" s="10">
        <f t="shared" ref="M27:M47" si="6">+E27/G27*100</f>
        <v>100</v>
      </c>
      <c r="N27" s="10">
        <f t="shared" ref="N27:N47" si="7">+F27/G27*100</f>
        <v>0</v>
      </c>
    </row>
    <row r="28" spans="1:21" x14ac:dyDescent="0.45">
      <c r="A28" s="16" t="s">
        <v>43</v>
      </c>
      <c r="E28">
        <v>0.54600000000000004</v>
      </c>
      <c r="F28">
        <v>0</v>
      </c>
      <c r="G28">
        <v>0.54600000000000004</v>
      </c>
      <c r="H28" s="8">
        <v>0.54500000000000004</v>
      </c>
      <c r="I28" s="8">
        <f t="shared" si="3"/>
        <v>1.0000000000000009E-3</v>
      </c>
      <c r="J28" s="10">
        <f t="shared" si="4"/>
        <v>99.81684981684981</v>
      </c>
      <c r="K28" s="10">
        <f t="shared" si="5"/>
        <v>0.1831501831501896</v>
      </c>
      <c r="M28" s="10">
        <f t="shared" si="6"/>
        <v>100</v>
      </c>
      <c r="N28" s="10">
        <f t="shared" si="7"/>
        <v>0</v>
      </c>
    </row>
    <row r="29" spans="1:21" x14ac:dyDescent="0.45">
      <c r="A29" s="16" t="s">
        <v>61</v>
      </c>
      <c r="E29">
        <v>0.56699999999999995</v>
      </c>
      <c r="F29">
        <v>5.0000000000000001E-3</v>
      </c>
      <c r="G29">
        <v>0.57199999999999995</v>
      </c>
      <c r="H29" s="8">
        <v>0.57199999999999995</v>
      </c>
      <c r="I29" s="8">
        <f t="shared" si="3"/>
        <v>0</v>
      </c>
      <c r="J29" s="10">
        <f t="shared" si="4"/>
        <v>100</v>
      </c>
      <c r="K29" s="10">
        <f t="shared" si="5"/>
        <v>0</v>
      </c>
      <c r="M29" s="10">
        <f t="shared" si="6"/>
        <v>99.12587412587412</v>
      </c>
      <c r="N29" s="10">
        <f t="shared" si="7"/>
        <v>0.87412587412587417</v>
      </c>
    </row>
    <row r="30" spans="1:21" x14ac:dyDescent="0.45">
      <c r="A30" s="16" t="s">
        <v>49</v>
      </c>
      <c r="E30">
        <v>0</v>
      </c>
      <c r="F30">
        <v>0</v>
      </c>
      <c r="G30">
        <v>0.91400000000000003</v>
      </c>
      <c r="H30" s="8">
        <v>0.91200000000000003</v>
      </c>
      <c r="I30" s="8">
        <f t="shared" si="3"/>
        <v>2.0000000000000018E-3</v>
      </c>
      <c r="J30" s="10">
        <f t="shared" si="4"/>
        <v>99.781181619256017</v>
      </c>
      <c r="K30" s="10">
        <f t="shared" si="5"/>
        <v>0.21881838074398274</v>
      </c>
      <c r="M30" s="10">
        <f t="shared" si="6"/>
        <v>0</v>
      </c>
      <c r="N30" s="10">
        <f t="shared" si="7"/>
        <v>0</v>
      </c>
    </row>
    <row r="31" spans="1:21" x14ac:dyDescent="0.45">
      <c r="A31" s="16" t="s">
        <v>64</v>
      </c>
      <c r="E31">
        <v>2.6110000000000002</v>
      </c>
      <c r="F31">
        <v>0</v>
      </c>
      <c r="G31">
        <v>2.6110000000000002</v>
      </c>
      <c r="H31" s="8">
        <v>2.6110000000000002</v>
      </c>
      <c r="I31" s="8">
        <f t="shared" si="3"/>
        <v>0</v>
      </c>
      <c r="J31" s="10">
        <f t="shared" si="4"/>
        <v>100</v>
      </c>
      <c r="K31" s="10">
        <f t="shared" si="5"/>
        <v>0</v>
      </c>
      <c r="M31" s="10">
        <f t="shared" si="6"/>
        <v>100</v>
      </c>
      <c r="N31" s="10">
        <f t="shared" si="7"/>
        <v>0</v>
      </c>
    </row>
    <row r="32" spans="1:21" x14ac:dyDescent="0.45">
      <c r="A32" s="16" t="s">
        <v>53</v>
      </c>
      <c r="E32">
        <v>3.09</v>
      </c>
      <c r="F32">
        <v>0.52500000000000002</v>
      </c>
      <c r="G32">
        <v>3.6150000000000002</v>
      </c>
      <c r="H32" s="8">
        <v>3.0680000000000001</v>
      </c>
      <c r="I32" s="8">
        <f t="shared" si="3"/>
        <v>0.54700000000000015</v>
      </c>
      <c r="J32" s="10">
        <f t="shared" si="4"/>
        <v>84.868603042876899</v>
      </c>
      <c r="K32" s="10">
        <f t="shared" si="5"/>
        <v>15.131396957123101</v>
      </c>
      <c r="M32" s="10">
        <f t="shared" si="6"/>
        <v>85.477178423236509</v>
      </c>
      <c r="N32" s="10">
        <f t="shared" si="7"/>
        <v>14.522821576763487</v>
      </c>
    </row>
    <row r="33" spans="1:14" x14ac:dyDescent="0.45">
      <c r="A33" s="16" t="s">
        <v>35</v>
      </c>
      <c r="E33">
        <v>4.3499999999999996</v>
      </c>
      <c r="F33">
        <v>1E-3</v>
      </c>
      <c r="G33">
        <v>4.351</v>
      </c>
      <c r="H33" s="8">
        <v>4.2789999999999999</v>
      </c>
      <c r="I33" s="8">
        <f t="shared" si="3"/>
        <v>7.2000000000000064E-2</v>
      </c>
      <c r="J33" s="10">
        <f t="shared" si="4"/>
        <v>98.345207998161342</v>
      </c>
      <c r="K33" s="10">
        <f t="shared" si="5"/>
        <v>1.6547920018386577</v>
      </c>
      <c r="M33" s="10">
        <f t="shared" si="6"/>
        <v>99.97701677775224</v>
      </c>
      <c r="N33" s="10">
        <f t="shared" si="7"/>
        <v>2.2983222247759134E-2</v>
      </c>
    </row>
    <row r="34" spans="1:14" x14ac:dyDescent="0.45">
      <c r="A34" s="16" t="s">
        <v>59</v>
      </c>
      <c r="E34">
        <v>4.88</v>
      </c>
      <c r="F34">
        <v>0.88300000000000001</v>
      </c>
      <c r="G34">
        <v>5.7629999999999999</v>
      </c>
      <c r="H34" s="8">
        <v>5.6369999999999996</v>
      </c>
      <c r="I34" s="8">
        <f t="shared" si="3"/>
        <v>0.12600000000000033</v>
      </c>
      <c r="J34" s="10">
        <f t="shared" si="4"/>
        <v>97.813638729828213</v>
      </c>
      <c r="K34" s="10">
        <f t="shared" si="5"/>
        <v>2.1863612701717869</v>
      </c>
      <c r="M34" s="10">
        <f t="shared" si="6"/>
        <v>84.678119035224711</v>
      </c>
      <c r="N34" s="10">
        <f t="shared" si="7"/>
        <v>15.321880964775293</v>
      </c>
    </row>
    <row r="35" spans="1:14" x14ac:dyDescent="0.45">
      <c r="A35" s="16" t="s">
        <v>57</v>
      </c>
      <c r="E35">
        <v>7.0469999999999997</v>
      </c>
      <c r="F35">
        <v>0.58099999999999996</v>
      </c>
      <c r="G35">
        <v>7.6280000000000001</v>
      </c>
      <c r="H35" s="8">
        <v>7.2750000000000004</v>
      </c>
      <c r="I35" s="8">
        <f t="shared" si="3"/>
        <v>0.35299999999999976</v>
      </c>
      <c r="J35" s="10">
        <f t="shared" si="4"/>
        <v>95.372312532773989</v>
      </c>
      <c r="K35" s="10">
        <f t="shared" si="5"/>
        <v>4.6276874672260107</v>
      </c>
      <c r="M35" s="10">
        <f t="shared" si="6"/>
        <v>92.383324593602509</v>
      </c>
      <c r="N35" s="10">
        <f t="shared" si="7"/>
        <v>7.6166754063974826</v>
      </c>
    </row>
    <row r="36" spans="1:14" x14ac:dyDescent="0.45">
      <c r="A36" s="16" t="s">
        <v>30</v>
      </c>
      <c r="E36">
        <v>5.19</v>
      </c>
      <c r="F36">
        <v>3.254</v>
      </c>
      <c r="G36">
        <v>8.4440000000000008</v>
      </c>
      <c r="H36" s="8">
        <v>8.4380000000000006</v>
      </c>
      <c r="I36" s="8">
        <f t="shared" si="3"/>
        <v>6.0000000000002274E-3</v>
      </c>
      <c r="J36" s="10">
        <f t="shared" si="4"/>
        <v>99.928943628612032</v>
      </c>
      <c r="K36" s="10">
        <f t="shared" si="5"/>
        <v>7.1056371387967943E-2</v>
      </c>
      <c r="M36" s="10">
        <f t="shared" si="6"/>
        <v>61.463761250592128</v>
      </c>
      <c r="N36" s="10">
        <f t="shared" si="7"/>
        <v>38.536238749407858</v>
      </c>
    </row>
    <row r="37" spans="1:14" x14ac:dyDescent="0.45">
      <c r="A37" s="16" t="s">
        <v>37</v>
      </c>
      <c r="E37">
        <v>6.48</v>
      </c>
      <c r="F37">
        <v>2.5</v>
      </c>
      <c r="G37">
        <v>8.98</v>
      </c>
      <c r="H37" s="8">
        <v>6.2439999999999998</v>
      </c>
      <c r="I37" s="8">
        <f t="shared" si="3"/>
        <v>2.7360000000000007</v>
      </c>
      <c r="J37" s="10">
        <f t="shared" si="4"/>
        <v>69.532293986636958</v>
      </c>
      <c r="K37" s="10">
        <f t="shared" si="5"/>
        <v>30.467706013363042</v>
      </c>
      <c r="M37" s="10">
        <f t="shared" si="6"/>
        <v>72.160356347438764</v>
      </c>
      <c r="N37" s="10">
        <f t="shared" si="7"/>
        <v>27.839643652561247</v>
      </c>
    </row>
    <row r="38" spans="1:14" x14ac:dyDescent="0.45">
      <c r="A38" s="16" t="s">
        <v>45</v>
      </c>
      <c r="E38">
        <v>11.638</v>
      </c>
      <c r="F38">
        <v>0</v>
      </c>
      <c r="G38">
        <v>11.638</v>
      </c>
      <c r="H38" s="8">
        <v>16.335999999999999</v>
      </c>
      <c r="I38" s="8">
        <f>G38-H38</f>
        <v>-4.6979999999999986</v>
      </c>
      <c r="J38" s="10">
        <f>+H38/G38*100</f>
        <v>140.3677607836398</v>
      </c>
      <c r="K38" s="10">
        <f>100-J38</f>
        <v>-40.367760783639795</v>
      </c>
      <c r="M38" s="10">
        <f t="shared" si="6"/>
        <v>100</v>
      </c>
      <c r="N38" s="10">
        <f t="shared" si="7"/>
        <v>0</v>
      </c>
    </row>
    <row r="39" spans="1:14" x14ac:dyDescent="0.45">
      <c r="A39" s="16" t="s">
        <v>23</v>
      </c>
      <c r="E39">
        <v>14.917999999999999</v>
      </c>
      <c r="F39">
        <v>0.64600000000000002</v>
      </c>
      <c r="G39">
        <v>15.564</v>
      </c>
      <c r="H39" s="8">
        <v>15.532999999999999</v>
      </c>
      <c r="I39" s="8">
        <f t="shared" si="3"/>
        <v>3.1000000000000583E-2</v>
      </c>
      <c r="J39" s="10">
        <f t="shared" si="4"/>
        <v>99.800822410691339</v>
      </c>
      <c r="K39" s="10">
        <f t="shared" si="5"/>
        <v>0.19917758930866114</v>
      </c>
      <c r="M39" s="10">
        <f t="shared" si="6"/>
        <v>95.849396042148541</v>
      </c>
      <c r="N39" s="10">
        <f t="shared" si="7"/>
        <v>4.1506039578514526</v>
      </c>
    </row>
    <row r="40" spans="1:14" x14ac:dyDescent="0.45">
      <c r="A40" s="16" t="s">
        <v>39</v>
      </c>
      <c r="E40">
        <v>13.077</v>
      </c>
      <c r="F40">
        <v>3.1379999999999999</v>
      </c>
      <c r="G40">
        <v>16.215</v>
      </c>
      <c r="H40" s="8">
        <v>15.688000000000001</v>
      </c>
      <c r="I40" s="8">
        <f t="shared" si="3"/>
        <v>0.52699999999999925</v>
      </c>
      <c r="J40" s="10">
        <f t="shared" si="4"/>
        <v>96.74992291088499</v>
      </c>
      <c r="K40" s="10">
        <f t="shared" si="5"/>
        <v>3.2500770891150097</v>
      </c>
      <c r="M40" s="10">
        <f t="shared" si="6"/>
        <v>80.647548566142461</v>
      </c>
      <c r="N40" s="10">
        <f t="shared" si="7"/>
        <v>19.352451433857539</v>
      </c>
    </row>
    <row r="41" spans="1:14" x14ac:dyDescent="0.45">
      <c r="A41" s="16" t="s">
        <v>41</v>
      </c>
      <c r="E41">
        <v>21.715</v>
      </c>
      <c r="F41">
        <v>2E-3</v>
      </c>
      <c r="G41">
        <v>21.716999999999999</v>
      </c>
      <c r="H41" s="8">
        <v>21.716999999999999</v>
      </c>
      <c r="I41" s="8">
        <f t="shared" si="3"/>
        <v>0</v>
      </c>
      <c r="J41" s="10">
        <f t="shared" si="4"/>
        <v>100</v>
      </c>
      <c r="K41" s="10">
        <f t="shared" si="5"/>
        <v>0</v>
      </c>
      <c r="M41" s="10">
        <f t="shared" si="6"/>
        <v>99.990790624856103</v>
      </c>
      <c r="N41" s="10">
        <f t="shared" si="7"/>
        <v>9.2093751438964873E-3</v>
      </c>
    </row>
    <row r="42" spans="1:14" x14ac:dyDescent="0.45">
      <c r="A42" s="16" t="s">
        <v>15</v>
      </c>
      <c r="E42">
        <v>27.952999999999999</v>
      </c>
      <c r="F42">
        <v>7.415</v>
      </c>
      <c r="G42">
        <v>35.368000000000002</v>
      </c>
      <c r="H42" s="8">
        <v>34.393999999999998</v>
      </c>
      <c r="I42" s="8">
        <f t="shared" si="3"/>
        <v>0.97400000000000375</v>
      </c>
      <c r="J42" s="10">
        <f t="shared" si="4"/>
        <v>97.246098167835328</v>
      </c>
      <c r="K42" s="10">
        <f t="shared" si="5"/>
        <v>2.7539018321646722</v>
      </c>
      <c r="M42" s="10">
        <f t="shared" si="6"/>
        <v>79.034720651436317</v>
      </c>
      <c r="N42" s="10">
        <f t="shared" si="7"/>
        <v>20.965279348563673</v>
      </c>
    </row>
    <row r="43" spans="1:14" x14ac:dyDescent="0.45">
      <c r="A43" s="16" t="s">
        <v>33</v>
      </c>
      <c r="E43">
        <v>42.537999999999997</v>
      </c>
      <c r="F43">
        <v>5.6710000000000003</v>
      </c>
      <c r="G43">
        <v>48.209000000000003</v>
      </c>
      <c r="H43" s="8">
        <v>47.587000000000003</v>
      </c>
      <c r="I43" s="8">
        <f t="shared" si="3"/>
        <v>0.62199999999999989</v>
      </c>
      <c r="J43" s="10">
        <f t="shared" si="4"/>
        <v>98.709784480076337</v>
      </c>
      <c r="K43" s="10">
        <f t="shared" si="5"/>
        <v>1.2902155199236631</v>
      </c>
      <c r="M43" s="10">
        <f t="shared" si="6"/>
        <v>88.236636312721686</v>
      </c>
      <c r="N43" s="10">
        <f t="shared" si="7"/>
        <v>11.763363687278309</v>
      </c>
    </row>
    <row r="44" spans="1:14" x14ac:dyDescent="0.45">
      <c r="A44" s="16" t="s">
        <v>55</v>
      </c>
      <c r="E44">
        <v>40.152999999999999</v>
      </c>
      <c r="F44">
        <v>13.189</v>
      </c>
      <c r="G44">
        <v>53.341999999999999</v>
      </c>
      <c r="H44" s="8">
        <v>53.341999999999999</v>
      </c>
      <c r="I44" s="8">
        <f t="shared" si="3"/>
        <v>0</v>
      </c>
      <c r="J44" s="10">
        <f t="shared" si="4"/>
        <v>100</v>
      </c>
      <c r="K44" s="10">
        <f t="shared" si="5"/>
        <v>0</v>
      </c>
      <c r="M44" s="10">
        <f t="shared" si="6"/>
        <v>75.27464287053354</v>
      </c>
      <c r="N44" s="10">
        <f t="shared" si="7"/>
        <v>24.725357129466463</v>
      </c>
    </row>
    <row r="45" spans="1:14" x14ac:dyDescent="0.45">
      <c r="A45" s="16" t="s">
        <v>25</v>
      </c>
      <c r="E45">
        <v>104.11</v>
      </c>
      <c r="F45">
        <v>25.866</v>
      </c>
      <c r="G45">
        <v>129.976</v>
      </c>
      <c r="H45" s="8">
        <v>103.07299999999999</v>
      </c>
      <c r="I45" s="8">
        <f t="shared" si="3"/>
        <v>26.903000000000006</v>
      </c>
      <c r="J45" s="10">
        <f t="shared" si="4"/>
        <v>79.301563365544396</v>
      </c>
      <c r="K45" s="10">
        <f t="shared" si="5"/>
        <v>20.698436634455604</v>
      </c>
      <c r="M45" s="10">
        <f t="shared" si="6"/>
        <v>80.099402966701547</v>
      </c>
      <c r="N45" s="10">
        <f t="shared" si="7"/>
        <v>19.900597033298457</v>
      </c>
    </row>
    <row r="46" spans="1:14" ht="14.65" thickBot="1" x14ac:dyDescent="0.5">
      <c r="A46" s="16" t="s">
        <v>51</v>
      </c>
      <c r="E46">
        <v>135.83099999999999</v>
      </c>
      <c r="F46">
        <v>20.998999999999999</v>
      </c>
      <c r="G46">
        <v>156.83000000000001</v>
      </c>
      <c r="H46" s="8">
        <v>156.83000000000001</v>
      </c>
      <c r="I46" s="8">
        <f t="shared" si="3"/>
        <v>0</v>
      </c>
      <c r="J46" s="10">
        <f t="shared" si="4"/>
        <v>100</v>
      </c>
      <c r="K46" s="10">
        <f t="shared" si="5"/>
        <v>0</v>
      </c>
      <c r="M46" s="10">
        <f t="shared" si="6"/>
        <v>86.610342408977857</v>
      </c>
      <c r="N46" s="10">
        <f t="shared" si="7"/>
        <v>13.389657591022125</v>
      </c>
    </row>
    <row r="47" spans="1:14" ht="14.65" thickBot="1" x14ac:dyDescent="0.5">
      <c r="A47" s="61" t="s">
        <v>70</v>
      </c>
      <c r="E47" s="64">
        <f>SUM(E26:E46)</f>
        <v>447.06099999999992</v>
      </c>
      <c r="F47" s="64">
        <f>SUM(F26:F46)</f>
        <v>84.674999999999997</v>
      </c>
      <c r="G47" s="64">
        <f>SUM(G26:G46)</f>
        <v>532.65</v>
      </c>
      <c r="H47" s="64">
        <f>SUM(H26:H46)</f>
        <v>504.44799999999998</v>
      </c>
      <c r="I47" s="64">
        <f>SUM(I26:I46)</f>
        <v>28.202000000000012</v>
      </c>
      <c r="J47" s="10">
        <f t="shared" si="4"/>
        <v>94.705341218436118</v>
      </c>
      <c r="K47" s="10">
        <f t="shared" si="5"/>
        <v>5.2946587815638821</v>
      </c>
      <c r="M47" s="10">
        <f t="shared" si="6"/>
        <v>83.931474701961875</v>
      </c>
      <c r="N47" s="10">
        <f t="shared" si="7"/>
        <v>15.896930442128978</v>
      </c>
    </row>
    <row r="72" spans="1:6" x14ac:dyDescent="0.45">
      <c r="A72" s="66" t="s">
        <v>89</v>
      </c>
      <c r="E72" t="s">
        <v>121</v>
      </c>
      <c r="F72" t="s">
        <v>122</v>
      </c>
    </row>
    <row r="73" spans="1:6" x14ac:dyDescent="0.45">
      <c r="A73" s="16" t="s">
        <v>37</v>
      </c>
      <c r="E73" s="8">
        <v>69.532293986636958</v>
      </c>
      <c r="F73" s="8">
        <v>30.467706013363042</v>
      </c>
    </row>
    <row r="74" spans="1:6" x14ac:dyDescent="0.45">
      <c r="A74" s="16" t="s">
        <v>25</v>
      </c>
      <c r="E74" s="8">
        <v>79.301563365544396</v>
      </c>
      <c r="F74" s="8">
        <v>20.698436634455604</v>
      </c>
    </row>
    <row r="75" spans="1:6" x14ac:dyDescent="0.45">
      <c r="A75" s="16" t="s">
        <v>53</v>
      </c>
      <c r="E75" s="8">
        <v>84.868603042876899</v>
      </c>
      <c r="F75" s="8">
        <v>15.131396957123101</v>
      </c>
    </row>
    <row r="76" spans="1:6" x14ac:dyDescent="0.45">
      <c r="A76" s="16" t="s">
        <v>57</v>
      </c>
      <c r="E76" s="8">
        <v>95.372312532773989</v>
      </c>
      <c r="F76" s="8">
        <v>4.6276874672260107</v>
      </c>
    </row>
    <row r="77" spans="1:6" x14ac:dyDescent="0.45">
      <c r="A77" s="16" t="s">
        <v>45</v>
      </c>
      <c r="E77" s="8">
        <v>96.514238449722328</v>
      </c>
      <c r="F77" s="8">
        <v>3.4857615502776724</v>
      </c>
    </row>
    <row r="78" spans="1:6" x14ac:dyDescent="0.45">
      <c r="A78" s="16" t="s">
        <v>39</v>
      </c>
      <c r="E78" s="8">
        <v>96.74992291088499</v>
      </c>
      <c r="F78" s="8">
        <v>3.2500770891150097</v>
      </c>
    </row>
    <row r="79" spans="1:6" x14ac:dyDescent="0.45">
      <c r="A79" s="16" t="s">
        <v>15</v>
      </c>
      <c r="E79" s="8">
        <v>97.246098167835328</v>
      </c>
      <c r="F79" s="8">
        <v>2.7539018321646722</v>
      </c>
    </row>
    <row r="80" spans="1:6" x14ac:dyDescent="0.45">
      <c r="A80" s="16" t="s">
        <v>59</v>
      </c>
      <c r="E80" s="8">
        <v>97.813638729828213</v>
      </c>
      <c r="F80" s="8">
        <v>2.1863612701717869</v>
      </c>
    </row>
    <row r="81" spans="1:6" x14ac:dyDescent="0.45">
      <c r="A81" s="16" t="s">
        <v>35</v>
      </c>
      <c r="E81" s="8">
        <v>98.345207998161342</v>
      </c>
      <c r="F81" s="8">
        <v>1.6547920018386577</v>
      </c>
    </row>
    <row r="82" spans="1:6" x14ac:dyDescent="0.45">
      <c r="A82" s="16" t="s">
        <v>33</v>
      </c>
      <c r="E82" s="8">
        <v>98.709784480076337</v>
      </c>
      <c r="F82" s="8">
        <v>1.2902155199236631</v>
      </c>
    </row>
    <row r="83" spans="1:6" x14ac:dyDescent="0.45">
      <c r="A83" s="16" t="s">
        <v>49</v>
      </c>
      <c r="E83" s="8">
        <v>99.781181619256017</v>
      </c>
      <c r="F83" s="8">
        <v>0.21881838074398274</v>
      </c>
    </row>
    <row r="84" spans="1:6" x14ac:dyDescent="0.45">
      <c r="A84" s="16" t="s">
        <v>23</v>
      </c>
      <c r="E84" s="8">
        <v>99.800822410691339</v>
      </c>
      <c r="F84" s="8">
        <v>0.19917758930866114</v>
      </c>
    </row>
    <row r="85" spans="1:6" x14ac:dyDescent="0.45">
      <c r="A85" s="16" t="s">
        <v>43</v>
      </c>
      <c r="E85" s="8">
        <v>99.81684981684981</v>
      </c>
      <c r="F85" s="8">
        <v>0.1831501831501896</v>
      </c>
    </row>
    <row r="86" spans="1:6" x14ac:dyDescent="0.45">
      <c r="A86" s="16" t="s">
        <v>30</v>
      </c>
      <c r="E86" s="8">
        <v>99.928943628612032</v>
      </c>
      <c r="F86" s="8">
        <v>7.1056371387967943E-2</v>
      </c>
    </row>
    <row r="87" spans="1:6" x14ac:dyDescent="0.45">
      <c r="A87" s="16" t="s">
        <v>27</v>
      </c>
      <c r="E87">
        <v>100</v>
      </c>
      <c r="F87">
        <v>0</v>
      </c>
    </row>
    <row r="88" spans="1:6" x14ac:dyDescent="0.45">
      <c r="A88" s="16" t="s">
        <v>20</v>
      </c>
      <c r="E88">
        <v>100</v>
      </c>
      <c r="F88">
        <v>0</v>
      </c>
    </row>
    <row r="89" spans="1:6" x14ac:dyDescent="0.45">
      <c r="A89" s="16" t="s">
        <v>61</v>
      </c>
      <c r="E89">
        <v>100</v>
      </c>
      <c r="F89">
        <v>0</v>
      </c>
    </row>
    <row r="90" spans="1:6" x14ac:dyDescent="0.45">
      <c r="A90" s="16" t="s">
        <v>64</v>
      </c>
      <c r="E90">
        <v>100</v>
      </c>
      <c r="F90">
        <v>0</v>
      </c>
    </row>
    <row r="91" spans="1:6" x14ac:dyDescent="0.45">
      <c r="A91" s="16" t="s">
        <v>41</v>
      </c>
      <c r="E91">
        <v>100</v>
      </c>
      <c r="F91">
        <v>0</v>
      </c>
    </row>
    <row r="92" spans="1:6" ht="14.65" thickBot="1" x14ac:dyDescent="0.5">
      <c r="A92" s="16" t="s">
        <v>55</v>
      </c>
      <c r="E92">
        <v>100</v>
      </c>
      <c r="F92">
        <v>0</v>
      </c>
    </row>
    <row r="93" spans="1:6" ht="14.65" thickBot="1" x14ac:dyDescent="0.5">
      <c r="A93" s="67" t="s">
        <v>51</v>
      </c>
      <c r="E93">
        <v>100</v>
      </c>
      <c r="F93">
        <v>0</v>
      </c>
    </row>
    <row r="98" spans="5:13" ht="14.65" thickBot="1" x14ac:dyDescent="0.5"/>
    <row r="99" spans="5:13" ht="36" thickBot="1" x14ac:dyDescent="0.5">
      <c r="E99" s="13" t="s">
        <v>0</v>
      </c>
      <c r="F99" s="13" t="s">
        <v>107</v>
      </c>
      <c r="G99" s="48" t="s">
        <v>77</v>
      </c>
      <c r="H99" s="49" t="s">
        <v>78</v>
      </c>
      <c r="I99" s="49" t="s">
        <v>125</v>
      </c>
      <c r="J99" t="s">
        <v>123</v>
      </c>
      <c r="K99" t="s">
        <v>124</v>
      </c>
    </row>
    <row r="100" spans="5:13" x14ac:dyDescent="0.45">
      <c r="E100" s="16" t="s">
        <v>27</v>
      </c>
      <c r="F100" s="15">
        <v>94</v>
      </c>
      <c r="G100">
        <v>0.129</v>
      </c>
      <c r="H100">
        <v>8.8999999999999996E-2</v>
      </c>
      <c r="I100">
        <v>0.04</v>
      </c>
      <c r="J100" s="12">
        <v>68.992248062015506</v>
      </c>
      <c r="K100" s="10">
        <f>100-J100</f>
        <v>31.007751937984494</v>
      </c>
      <c r="M100">
        <v>1000</v>
      </c>
    </row>
    <row r="101" spans="5:13" x14ac:dyDescent="0.45">
      <c r="E101" s="16" t="s">
        <v>20</v>
      </c>
      <c r="F101" s="15">
        <v>273</v>
      </c>
      <c r="G101">
        <v>0.38200000000000001</v>
      </c>
      <c r="H101">
        <v>0.30599999999999999</v>
      </c>
      <c r="I101">
        <v>7.5999999999999998E-2</v>
      </c>
      <c r="J101" s="12">
        <v>80.104712041884824</v>
      </c>
      <c r="K101" s="10">
        <f>100-J101</f>
        <v>19.895287958115176</v>
      </c>
    </row>
    <row r="102" spans="5:13" x14ac:dyDescent="0.45">
      <c r="E102" s="16" t="s">
        <v>43</v>
      </c>
      <c r="F102" s="15">
        <v>546</v>
      </c>
      <c r="G102" s="57"/>
      <c r="H102" s="33"/>
      <c r="I102" s="8"/>
      <c r="J102" s="12"/>
      <c r="K102" s="10"/>
    </row>
    <row r="103" spans="5:13" x14ac:dyDescent="0.45">
      <c r="E103" s="16" t="s">
        <v>61</v>
      </c>
      <c r="F103" s="15">
        <v>572</v>
      </c>
      <c r="G103" s="58"/>
      <c r="H103" s="25"/>
      <c r="I103" s="8"/>
      <c r="J103" s="12"/>
      <c r="K103" s="10"/>
    </row>
    <row r="104" spans="5:13" x14ac:dyDescent="0.45">
      <c r="E104" s="16" t="s">
        <v>49</v>
      </c>
      <c r="F104" s="15">
        <v>914</v>
      </c>
      <c r="G104" s="57"/>
      <c r="H104" s="33"/>
      <c r="I104" s="8"/>
      <c r="J104" s="12"/>
      <c r="K104" s="10"/>
    </row>
    <row r="105" spans="5:13" x14ac:dyDescent="0.45">
      <c r="E105" s="16" t="s">
        <v>64</v>
      </c>
      <c r="F105" s="17">
        <v>2611</v>
      </c>
      <c r="G105">
        <v>3.137</v>
      </c>
      <c r="H105">
        <v>2.57</v>
      </c>
      <c r="I105">
        <v>0.56699999999999995</v>
      </c>
      <c r="J105" s="12">
        <v>81.925406439273189</v>
      </c>
      <c r="K105" s="10">
        <f>100-J105</f>
        <v>18.074593560726811</v>
      </c>
    </row>
    <row r="106" spans="5:13" x14ac:dyDescent="0.45">
      <c r="E106" s="16" t="s">
        <v>53</v>
      </c>
      <c r="F106" s="17">
        <v>3615</v>
      </c>
      <c r="G106">
        <v>3.6150000000000002</v>
      </c>
      <c r="H106">
        <v>3.09</v>
      </c>
      <c r="I106">
        <v>0.52500000000000002</v>
      </c>
      <c r="J106" s="12">
        <v>85.477178423236509</v>
      </c>
      <c r="K106" s="10">
        <f>100-J106</f>
        <v>14.522821576763491</v>
      </c>
    </row>
    <row r="107" spans="5:13" x14ac:dyDescent="0.45">
      <c r="E107" s="16" t="s">
        <v>35</v>
      </c>
      <c r="F107" s="17">
        <v>4351</v>
      </c>
      <c r="G107">
        <v>4.87</v>
      </c>
      <c r="H107">
        <v>4.266</v>
      </c>
      <c r="I107">
        <v>0.60399999999999998</v>
      </c>
      <c r="J107" s="12">
        <v>87.597535934291585</v>
      </c>
      <c r="K107" s="10">
        <f>100-J107</f>
        <v>12.402464065708415</v>
      </c>
    </row>
    <row r="108" spans="5:13" x14ac:dyDescent="0.45">
      <c r="E108" s="16" t="s">
        <v>59</v>
      </c>
      <c r="F108" s="17">
        <v>5763</v>
      </c>
      <c r="G108">
        <v>5.8849999999999998</v>
      </c>
      <c r="H108">
        <v>5.1609999999999996</v>
      </c>
      <c r="I108">
        <v>0.72399999999999998</v>
      </c>
      <c r="J108" s="12">
        <v>87.697536108751066</v>
      </c>
      <c r="K108" s="10">
        <f>100-J108</f>
        <v>12.302463891248934</v>
      </c>
    </row>
    <row r="109" spans="5:13" x14ac:dyDescent="0.45">
      <c r="E109" s="16" t="s">
        <v>57</v>
      </c>
      <c r="F109" s="17">
        <v>7628</v>
      </c>
      <c r="G109" s="54"/>
      <c r="H109" s="25"/>
      <c r="I109" s="8"/>
      <c r="J109" s="12"/>
      <c r="K109" s="10"/>
    </row>
    <row r="110" spans="5:13" x14ac:dyDescent="0.45">
      <c r="E110" s="16" t="s">
        <v>30</v>
      </c>
      <c r="F110" s="17">
        <v>8444</v>
      </c>
      <c r="G110">
        <v>11.122999999999999</v>
      </c>
      <c r="H110">
        <v>6.2539999999999996</v>
      </c>
      <c r="I110">
        <v>4.8689999999999998</v>
      </c>
      <c r="J110" s="12">
        <v>56.225838352962334</v>
      </c>
      <c r="K110" s="10">
        <f>100-J110</f>
        <v>43.774161647037666</v>
      </c>
    </row>
    <row r="111" spans="5:13" x14ac:dyDescent="0.45">
      <c r="E111" s="16" t="s">
        <v>37</v>
      </c>
      <c r="F111" s="17">
        <v>8980</v>
      </c>
      <c r="G111">
        <v>9.125</v>
      </c>
      <c r="H111">
        <v>7.7610000000000001</v>
      </c>
      <c r="I111">
        <v>1.3640000000000001</v>
      </c>
      <c r="J111" s="12">
        <v>85.052054794520544</v>
      </c>
      <c r="K111" s="10">
        <f>100-J111</f>
        <v>14.947945205479456</v>
      </c>
    </row>
    <row r="112" spans="5:13" x14ac:dyDescent="0.45">
      <c r="E112" s="16" t="s">
        <v>45</v>
      </c>
      <c r="F112" s="17">
        <f>10225+981+432</f>
        <v>11638</v>
      </c>
      <c r="G112">
        <v>17.428000000000001</v>
      </c>
      <c r="H112">
        <v>15.162360000000001</v>
      </c>
      <c r="I112">
        <v>2.2656399999999994</v>
      </c>
      <c r="J112" s="12">
        <v>87</v>
      </c>
      <c r="K112" s="10">
        <f>100-J112</f>
        <v>13</v>
      </c>
    </row>
    <row r="113" spans="5:11" x14ac:dyDescent="0.45">
      <c r="E113" s="16" t="s">
        <v>23</v>
      </c>
      <c r="F113" s="17">
        <v>15564</v>
      </c>
      <c r="G113">
        <v>15.48</v>
      </c>
      <c r="H113">
        <v>14.842000000000001</v>
      </c>
      <c r="I113">
        <v>0.63800000000000001</v>
      </c>
      <c r="J113" s="12">
        <v>95.878552971576227</v>
      </c>
      <c r="K113" s="10">
        <f>100-J113</f>
        <v>4.1214470284237734</v>
      </c>
    </row>
    <row r="114" spans="5:11" x14ac:dyDescent="0.45">
      <c r="E114" s="16" t="s">
        <v>39</v>
      </c>
      <c r="F114" s="17">
        <v>16215</v>
      </c>
      <c r="G114">
        <v>16.015999999999998</v>
      </c>
      <c r="H114">
        <v>13.042999999999999</v>
      </c>
      <c r="I114">
        <v>2.9729999999999999</v>
      </c>
      <c r="J114" s="12">
        <v>81.437312687312698</v>
      </c>
      <c r="K114" s="10">
        <f>100-J114</f>
        <v>18.562687312687302</v>
      </c>
    </row>
    <row r="115" spans="5:11" x14ac:dyDescent="0.45">
      <c r="E115" s="16" t="s">
        <v>41</v>
      </c>
      <c r="F115" s="17">
        <v>21717</v>
      </c>
      <c r="G115">
        <v>32.942999999999998</v>
      </c>
      <c r="H115">
        <v>22.106999999999999</v>
      </c>
      <c r="I115">
        <v>10.836</v>
      </c>
      <c r="J115" s="12">
        <v>67.106820872415994</v>
      </c>
      <c r="K115" s="10">
        <f>100-J115</f>
        <v>32.893179127584006</v>
      </c>
    </row>
    <row r="116" spans="5:11" x14ac:dyDescent="0.45">
      <c r="E116" s="16" t="s">
        <v>15</v>
      </c>
      <c r="F116" s="17">
        <v>35368</v>
      </c>
      <c r="G116">
        <v>36.383000000000003</v>
      </c>
      <c r="H116">
        <v>28.262</v>
      </c>
      <c r="I116">
        <v>8.1210000000000004</v>
      </c>
      <c r="J116" s="12">
        <v>77.679135860154474</v>
      </c>
      <c r="K116" s="10">
        <f>100-J116</f>
        <v>22.320864139845526</v>
      </c>
    </row>
    <row r="117" spans="5:11" x14ac:dyDescent="0.45">
      <c r="E117" s="16" t="s">
        <v>33</v>
      </c>
      <c r="F117" s="17">
        <v>48209</v>
      </c>
      <c r="G117">
        <v>53.215000000000003</v>
      </c>
      <c r="H117">
        <v>43.622</v>
      </c>
      <c r="I117">
        <v>9.593</v>
      </c>
      <c r="J117" s="12">
        <v>81.973127877478163</v>
      </c>
      <c r="K117" s="10">
        <f>100-J117</f>
        <v>18.026872122521837</v>
      </c>
    </row>
    <row r="118" spans="5:11" x14ac:dyDescent="0.45">
      <c r="E118" s="16" t="s">
        <v>55</v>
      </c>
      <c r="F118" s="17">
        <v>53342</v>
      </c>
      <c r="G118">
        <v>54.037999999999997</v>
      </c>
      <c r="H118">
        <v>40.488999999999997</v>
      </c>
      <c r="I118">
        <v>13.548999999999999</v>
      </c>
      <c r="J118" s="12">
        <v>74.92690329027721</v>
      </c>
      <c r="K118" s="10">
        <f>100-J118</f>
        <v>25.07309670972279</v>
      </c>
    </row>
    <row r="119" spans="5:11" x14ac:dyDescent="0.45">
      <c r="E119" s="16" t="s">
        <v>25</v>
      </c>
      <c r="F119" s="17">
        <v>129976</v>
      </c>
      <c r="G119">
        <v>129.976</v>
      </c>
      <c r="H119">
        <v>104.11</v>
      </c>
      <c r="I119">
        <v>25.866</v>
      </c>
      <c r="J119" s="12">
        <v>80.099402966701547</v>
      </c>
      <c r="K119" s="10">
        <f>100-J119</f>
        <v>19.900597033298453</v>
      </c>
    </row>
    <row r="120" spans="5:11" x14ac:dyDescent="0.45">
      <c r="E120" s="16" t="s">
        <v>51</v>
      </c>
      <c r="F120" s="17">
        <v>156830</v>
      </c>
      <c r="G120">
        <v>159.41200000000001</v>
      </c>
      <c r="H120">
        <v>138.16499999999999</v>
      </c>
      <c r="I120">
        <v>21.247</v>
      </c>
      <c r="J120" s="12">
        <v>86.671643289087399</v>
      </c>
      <c r="K120" s="10">
        <f>100-J120</f>
        <v>13.328356710912601</v>
      </c>
    </row>
    <row r="123" spans="5:11" ht="14.65" thickBot="1" x14ac:dyDescent="0.5"/>
    <row r="124" spans="5:11" ht="14.65" thickBot="1" x14ac:dyDescent="0.5">
      <c r="E124" s="61" t="s">
        <v>70</v>
      </c>
      <c r="F124" s="62">
        <v>537938</v>
      </c>
      <c r="G124" s="60">
        <v>564047</v>
      </c>
      <c r="H124" s="40"/>
    </row>
  </sheetData>
  <autoFilter ref="E99:J99" xr:uid="{1EF4146F-8A56-492C-914A-A66AE34774DE}">
    <sortState xmlns:xlrd2="http://schemas.microsoft.com/office/spreadsheetml/2017/richdata2" ref="E100:J120">
      <sortCondition ref="F99"/>
    </sortState>
  </autoFilter>
  <phoneticPr fontId="4" type="noConversion"/>
  <hyperlinks>
    <hyperlink ref="S16" r:id="rId1" xr:uid="{FA5F9781-5463-433A-82BC-36042390C7F1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5"/>
  <sheetViews>
    <sheetView tabSelected="1" topLeftCell="A3" workbookViewId="0">
      <selection activeCell="K10" sqref="K10"/>
    </sheetView>
  </sheetViews>
  <sheetFormatPr defaultRowHeight="14.25" x14ac:dyDescent="0.45"/>
  <cols>
    <col min="1" max="1" width="19.86328125" customWidth="1"/>
    <col min="2" max="2" width="12" customWidth="1"/>
  </cols>
  <sheetData>
    <row r="1" spans="1:21" ht="16.899999999999999" x14ac:dyDescent="0.5">
      <c r="A1" s="7" t="s">
        <v>66</v>
      </c>
    </row>
    <row r="2" spans="1:21" ht="14.65" thickBot="1" x14ac:dyDescent="0.5"/>
    <row r="3" spans="1:21" ht="36" thickBot="1" x14ac:dyDescent="0.5">
      <c r="A3" s="13" t="s">
        <v>0</v>
      </c>
      <c r="B3" s="13" t="s">
        <v>86</v>
      </c>
      <c r="C3" s="13" t="s">
        <v>87</v>
      </c>
      <c r="D3" s="13" t="s">
        <v>80</v>
      </c>
      <c r="E3" s="13" t="s">
        <v>107</v>
      </c>
      <c r="F3" s="13" t="s">
        <v>108</v>
      </c>
      <c r="G3" s="13" t="s">
        <v>109</v>
      </c>
      <c r="H3" s="13"/>
      <c r="I3" s="13" t="s">
        <v>88</v>
      </c>
      <c r="J3" s="13" t="s">
        <v>80</v>
      </c>
      <c r="K3" s="13" t="s">
        <v>90</v>
      </c>
      <c r="L3" s="13" t="s">
        <v>91</v>
      </c>
      <c r="M3" s="13" t="s">
        <v>110</v>
      </c>
      <c r="N3" s="48" t="s">
        <v>77</v>
      </c>
      <c r="O3" s="49" t="s">
        <v>71</v>
      </c>
      <c r="P3" s="49" t="s">
        <v>78</v>
      </c>
      <c r="Q3" s="49" t="s">
        <v>71</v>
      </c>
      <c r="R3" s="49" t="s">
        <v>112</v>
      </c>
      <c r="S3" s="49" t="s">
        <v>79</v>
      </c>
      <c r="T3" s="50" t="s">
        <v>118</v>
      </c>
      <c r="U3" s="51" t="s">
        <v>117</v>
      </c>
    </row>
    <row r="4" spans="1:21" x14ac:dyDescent="0.45">
      <c r="A4" s="16" t="s">
        <v>15</v>
      </c>
      <c r="B4" s="15">
        <v>35636</v>
      </c>
      <c r="C4" s="17">
        <v>34166</v>
      </c>
      <c r="D4" s="14">
        <f>C4/B4*100</f>
        <v>95.874957907733744</v>
      </c>
      <c r="E4" s="17">
        <v>35368</v>
      </c>
      <c r="F4" s="17">
        <v>27953</v>
      </c>
      <c r="G4" s="17">
        <v>7415</v>
      </c>
      <c r="H4" s="17">
        <f>(F4+G4)-E4</f>
        <v>0</v>
      </c>
      <c r="I4" s="17">
        <v>34394</v>
      </c>
      <c r="J4" s="17">
        <f>I4/E4*100</f>
        <v>97.246098167835328</v>
      </c>
      <c r="K4" s="15" t="s">
        <v>92</v>
      </c>
      <c r="L4" s="23" t="s">
        <v>93</v>
      </c>
      <c r="M4" s="22">
        <v>2023</v>
      </c>
      <c r="N4" s="54">
        <v>36383</v>
      </c>
      <c r="O4" s="24">
        <f>+E4/N4*100</f>
        <v>97.210235549569859</v>
      </c>
      <c r="P4" s="25">
        <v>28262</v>
      </c>
      <c r="Q4" s="25">
        <f>+F4/P4*100</f>
        <v>98.906659118250644</v>
      </c>
      <c r="R4" s="25">
        <f>B4/N4*100</f>
        <v>97.946843305939595</v>
      </c>
      <c r="S4" s="26">
        <v>2024</v>
      </c>
      <c r="T4" s="27" t="s">
        <v>73</v>
      </c>
      <c r="U4" s="52">
        <v>27.900000000000006</v>
      </c>
    </row>
    <row r="5" spans="1:21" x14ac:dyDescent="0.45">
      <c r="A5" s="16" t="s">
        <v>20</v>
      </c>
      <c r="B5" s="15">
        <v>303</v>
      </c>
      <c r="C5" s="15">
        <v>303</v>
      </c>
      <c r="D5" s="14">
        <f t="shared" ref="D5:D25" si="0">C5/B5*100</f>
        <v>100</v>
      </c>
      <c r="E5" s="15">
        <v>273</v>
      </c>
      <c r="F5" s="18">
        <v>273</v>
      </c>
      <c r="G5" s="15">
        <v>0</v>
      </c>
      <c r="H5" s="17">
        <f t="shared" ref="H5:H24" si="1">(F5+G5)-E5</f>
        <v>0</v>
      </c>
      <c r="I5" s="15">
        <v>273</v>
      </c>
      <c r="J5" s="17">
        <f>I5/E5*100</f>
        <v>100</v>
      </c>
      <c r="K5" s="15" t="s">
        <v>94</v>
      </c>
      <c r="L5" s="23" t="s">
        <v>95</v>
      </c>
      <c r="M5" s="22"/>
      <c r="N5" s="54">
        <v>382</v>
      </c>
      <c r="O5" s="24">
        <f>+E5/N5*100</f>
        <v>71.465968586387433</v>
      </c>
      <c r="P5" s="25">
        <v>306</v>
      </c>
      <c r="Q5" s="25">
        <f>+F5/P5*100</f>
        <v>89.215686274509807</v>
      </c>
      <c r="R5" s="25">
        <f>B5/N5*100</f>
        <v>79.319371727748688</v>
      </c>
      <c r="S5" s="26">
        <v>2024</v>
      </c>
      <c r="T5" s="27" t="s">
        <v>73</v>
      </c>
      <c r="U5" s="52"/>
    </row>
    <row r="6" spans="1:21" x14ac:dyDescent="0.45">
      <c r="A6" s="16" t="s">
        <v>23</v>
      </c>
      <c r="B6" s="15">
        <v>15329</v>
      </c>
      <c r="C6" s="17">
        <v>15299</v>
      </c>
      <c r="D6" s="14">
        <f t="shared" si="0"/>
        <v>99.804292517450591</v>
      </c>
      <c r="E6" s="17">
        <v>15564</v>
      </c>
      <c r="F6" s="17">
        <v>14918</v>
      </c>
      <c r="G6" s="15">
        <v>646</v>
      </c>
      <c r="H6" s="17">
        <f t="shared" si="1"/>
        <v>0</v>
      </c>
      <c r="I6" s="17">
        <v>15533</v>
      </c>
      <c r="J6" s="17">
        <f>I6/E6*100</f>
        <v>99.800822410691339</v>
      </c>
      <c r="K6" s="15" t="s">
        <v>92</v>
      </c>
      <c r="L6" s="23" t="s">
        <v>96</v>
      </c>
      <c r="M6" s="22">
        <v>2023</v>
      </c>
      <c r="N6" s="54">
        <v>15480</v>
      </c>
      <c r="O6" s="24">
        <f>+E6/N6*100</f>
        <v>100.54263565891472</v>
      </c>
      <c r="P6" s="25">
        <v>14842</v>
      </c>
      <c r="Q6" s="25">
        <f>+F6/P6*100</f>
        <v>100.51206036922247</v>
      </c>
      <c r="R6" s="25">
        <f>B6/N6*100</f>
        <v>99.024547803617565</v>
      </c>
      <c r="S6" s="26">
        <v>2024</v>
      </c>
      <c r="T6" s="27" t="s">
        <v>81</v>
      </c>
      <c r="U6" s="52">
        <v>37.200000000000003</v>
      </c>
    </row>
    <row r="7" spans="1:21" x14ac:dyDescent="0.45">
      <c r="A7" s="16" t="s">
        <v>25</v>
      </c>
      <c r="B7" s="15">
        <v>134418</v>
      </c>
      <c r="C7" s="17">
        <v>116542</v>
      </c>
      <c r="D7" s="14">
        <f t="shared" si="0"/>
        <v>86.70118585308515</v>
      </c>
      <c r="E7" s="17">
        <v>129976</v>
      </c>
      <c r="F7" s="17">
        <v>104110</v>
      </c>
      <c r="G7" s="17">
        <v>25866</v>
      </c>
      <c r="H7" s="17">
        <f t="shared" si="1"/>
        <v>0</v>
      </c>
      <c r="I7" s="17">
        <v>103073</v>
      </c>
      <c r="J7" s="17">
        <f>I7/E7*100</f>
        <v>79.301563365544396</v>
      </c>
      <c r="K7" s="15" t="s">
        <v>92</v>
      </c>
      <c r="L7" s="23" t="s">
        <v>97</v>
      </c>
      <c r="M7" s="22">
        <v>2023</v>
      </c>
      <c r="N7" s="55">
        <v>129976</v>
      </c>
      <c r="O7" s="24">
        <f>+E7/N7*100</f>
        <v>100</v>
      </c>
      <c r="P7" s="25">
        <v>137020</v>
      </c>
      <c r="Q7" s="25">
        <f>+F7/P7*100</f>
        <v>75.981608524303027</v>
      </c>
      <c r="R7" s="25">
        <f>B7/N7*100</f>
        <v>103.41755400997108</v>
      </c>
      <c r="S7" s="26">
        <v>2023</v>
      </c>
      <c r="T7" s="27" t="s">
        <v>72</v>
      </c>
      <c r="U7" s="52">
        <v>30</v>
      </c>
    </row>
    <row r="8" spans="1:21" x14ac:dyDescent="0.45">
      <c r="A8" s="16" t="s">
        <v>27</v>
      </c>
      <c r="B8" s="15">
        <v>106</v>
      </c>
      <c r="C8" s="15">
        <v>106</v>
      </c>
      <c r="D8" s="14">
        <f t="shared" si="0"/>
        <v>100</v>
      </c>
      <c r="E8" s="15">
        <v>94</v>
      </c>
      <c r="F8" s="18">
        <v>94</v>
      </c>
      <c r="G8" s="15">
        <v>0</v>
      </c>
      <c r="H8" s="17">
        <f t="shared" si="1"/>
        <v>0</v>
      </c>
      <c r="I8" s="15">
        <v>94</v>
      </c>
      <c r="J8" s="17">
        <f>I8/E8*100</f>
        <v>100</v>
      </c>
      <c r="K8" s="15" t="s">
        <v>92</v>
      </c>
      <c r="L8" s="23" t="s">
        <v>98</v>
      </c>
      <c r="M8" s="22">
        <v>2024</v>
      </c>
      <c r="N8" s="54">
        <f>68+30+21+10</f>
        <v>129</v>
      </c>
      <c r="O8" s="24">
        <f>+E8/N8*100</f>
        <v>72.868217054263567</v>
      </c>
      <c r="P8" s="25">
        <f>68+21</f>
        <v>89</v>
      </c>
      <c r="Q8" s="25">
        <f>+F8/P8*100</f>
        <v>105.61797752808988</v>
      </c>
      <c r="R8" s="25">
        <f>B8/N8*100</f>
        <v>82.170542635658919</v>
      </c>
      <c r="S8" s="26">
        <v>2025</v>
      </c>
      <c r="T8" s="27" t="s">
        <v>82</v>
      </c>
      <c r="U8" s="52">
        <v>14.400000000000006</v>
      </c>
    </row>
    <row r="9" spans="1:21" x14ac:dyDescent="0.45">
      <c r="A9" s="16" t="s">
        <v>30</v>
      </c>
      <c r="B9" s="15">
        <v>7895</v>
      </c>
      <c r="C9" s="17">
        <v>7895</v>
      </c>
      <c r="D9" s="14">
        <f t="shared" si="0"/>
        <v>100</v>
      </c>
      <c r="E9" s="17">
        <v>8444</v>
      </c>
      <c r="F9" s="17">
        <v>5190</v>
      </c>
      <c r="G9" s="17">
        <v>3254</v>
      </c>
      <c r="H9" s="17">
        <f t="shared" si="1"/>
        <v>0</v>
      </c>
      <c r="I9" s="17">
        <v>8438</v>
      </c>
      <c r="J9" s="17">
        <f>I9/E9*100</f>
        <v>99.928943628612032</v>
      </c>
      <c r="K9" s="15" t="s">
        <v>92</v>
      </c>
      <c r="L9" s="23" t="s">
        <v>99</v>
      </c>
      <c r="M9" s="22">
        <v>2023</v>
      </c>
      <c r="N9" s="56">
        <v>11123</v>
      </c>
      <c r="O9" s="28">
        <f>+E9/N9*100</f>
        <v>75.91477119482154</v>
      </c>
      <c r="P9" s="29">
        <f>+N9-5480+611</f>
        <v>6254</v>
      </c>
      <c r="Q9" s="25">
        <f>+F9/P9*100</f>
        <v>82.986888391429474</v>
      </c>
      <c r="R9" s="25">
        <f>B9/N9*100</f>
        <v>70.979052413917117</v>
      </c>
      <c r="S9" s="26">
        <v>2023</v>
      </c>
      <c r="T9" s="27" t="s">
        <v>113</v>
      </c>
      <c r="U9" s="52"/>
    </row>
    <row r="10" spans="1:21" x14ac:dyDescent="0.45">
      <c r="A10" s="16" t="s">
        <v>33</v>
      </c>
      <c r="B10" s="15">
        <v>43658</v>
      </c>
      <c r="C10" s="17">
        <v>43259</v>
      </c>
      <c r="D10" s="14">
        <f t="shared" si="0"/>
        <v>99.086078152915846</v>
      </c>
      <c r="E10" s="17">
        <v>48209</v>
      </c>
      <c r="F10" s="17">
        <v>42538</v>
      </c>
      <c r="G10" s="17">
        <v>5671</v>
      </c>
      <c r="H10" s="17">
        <f t="shared" si="1"/>
        <v>0</v>
      </c>
      <c r="I10" s="17">
        <v>47587</v>
      </c>
      <c r="J10" s="17">
        <f>I10/E10*100</f>
        <v>98.709784480076337</v>
      </c>
      <c r="K10" s="15" t="s">
        <v>92</v>
      </c>
      <c r="L10" s="23" t="s">
        <v>100</v>
      </c>
      <c r="M10" s="22">
        <v>2023</v>
      </c>
      <c r="N10" s="54">
        <f>43622+9593</f>
        <v>53215</v>
      </c>
      <c r="O10" s="24">
        <f>+E10/N10*100</f>
        <v>90.592877947947002</v>
      </c>
      <c r="P10" s="25">
        <v>43622</v>
      </c>
      <c r="Q10" s="25">
        <f>+F10/P10*100</f>
        <v>97.515015359222417</v>
      </c>
      <c r="R10" s="25">
        <f>B10/N10*100</f>
        <v>82.040777976134549</v>
      </c>
      <c r="S10" s="26">
        <v>2024</v>
      </c>
      <c r="T10" s="27" t="s">
        <v>72</v>
      </c>
      <c r="U10" s="52">
        <v>23.5</v>
      </c>
    </row>
    <row r="11" spans="1:21" x14ac:dyDescent="0.45">
      <c r="A11" s="16" t="s">
        <v>35</v>
      </c>
      <c r="B11" s="15">
        <v>4418</v>
      </c>
      <c r="C11" s="17">
        <v>4381</v>
      </c>
      <c r="D11" s="14">
        <f t="shared" si="0"/>
        <v>99.16251697600724</v>
      </c>
      <c r="E11" s="17">
        <v>4351</v>
      </c>
      <c r="F11" s="17">
        <v>4350</v>
      </c>
      <c r="G11" s="15">
        <v>1</v>
      </c>
      <c r="H11" s="17">
        <f t="shared" si="1"/>
        <v>0</v>
      </c>
      <c r="I11" s="17">
        <v>4279</v>
      </c>
      <c r="J11" s="17">
        <f>I11/E11*100</f>
        <v>98.345207998161342</v>
      </c>
      <c r="K11" s="15" t="s">
        <v>92</v>
      </c>
      <c r="L11" s="23" t="s">
        <v>101</v>
      </c>
      <c r="M11" s="22">
        <v>2024</v>
      </c>
      <c r="N11" s="54">
        <v>4870</v>
      </c>
      <c r="O11" s="24">
        <f>+E11/N11*100</f>
        <v>89.342915811088304</v>
      </c>
      <c r="P11" s="25">
        <v>4266</v>
      </c>
      <c r="Q11" s="25">
        <f>+F11/P11*100</f>
        <v>101.96905766526018</v>
      </c>
      <c r="R11" s="25">
        <f>B11/N11*100</f>
        <v>90.718685831622182</v>
      </c>
      <c r="S11" s="26">
        <v>2025</v>
      </c>
      <c r="T11" s="27" t="s">
        <v>116</v>
      </c>
      <c r="U11" s="52">
        <v>19.400000000000006</v>
      </c>
    </row>
    <row r="12" spans="1:21" x14ac:dyDescent="0.45">
      <c r="A12" s="16" t="s">
        <v>37</v>
      </c>
      <c r="B12" s="15">
        <v>6599</v>
      </c>
      <c r="C12" s="17">
        <v>6294</v>
      </c>
      <c r="D12" s="14">
        <f t="shared" si="0"/>
        <v>95.378087589028638</v>
      </c>
      <c r="E12" s="17">
        <v>8980</v>
      </c>
      <c r="F12" s="17">
        <v>6480</v>
      </c>
      <c r="G12" s="17">
        <v>2500</v>
      </c>
      <c r="H12" s="17">
        <f t="shared" si="1"/>
        <v>0</v>
      </c>
      <c r="I12" s="17">
        <v>6244</v>
      </c>
      <c r="J12" s="17">
        <f>I12/E12*100</f>
        <v>69.532293986636972</v>
      </c>
      <c r="K12" s="15" t="s">
        <v>94</v>
      </c>
      <c r="L12" s="23" t="s">
        <v>100</v>
      </c>
      <c r="M12" s="22" t="s">
        <v>111</v>
      </c>
      <c r="N12" s="55">
        <f>10615-1229-261</f>
        <v>9125</v>
      </c>
      <c r="O12" s="24">
        <f>+E12/N12*100</f>
        <v>98.410958904109592</v>
      </c>
      <c r="P12" s="30">
        <f>7761</f>
        <v>7761</v>
      </c>
      <c r="Q12" s="25">
        <f>+F12/P12*100</f>
        <v>83.494395052184004</v>
      </c>
      <c r="R12" s="25">
        <f>B12/N12*100</f>
        <v>72.317808219178076</v>
      </c>
      <c r="S12" s="26" t="s">
        <v>111</v>
      </c>
      <c r="T12" s="27" t="s">
        <v>115</v>
      </c>
      <c r="U12" s="52">
        <v>29.5</v>
      </c>
    </row>
    <row r="13" spans="1:21" x14ac:dyDescent="0.45">
      <c r="A13" s="16" t="s">
        <v>39</v>
      </c>
      <c r="B13" s="15">
        <v>6382</v>
      </c>
      <c r="C13" s="17">
        <v>6357</v>
      </c>
      <c r="D13" s="14">
        <f t="shared" si="0"/>
        <v>99.608273268567842</v>
      </c>
      <c r="E13" s="17">
        <v>16215</v>
      </c>
      <c r="F13" s="17">
        <v>13077</v>
      </c>
      <c r="G13" s="17">
        <v>3138</v>
      </c>
      <c r="H13" s="17">
        <f t="shared" si="1"/>
        <v>0</v>
      </c>
      <c r="I13" s="17">
        <v>15688</v>
      </c>
      <c r="J13" s="17">
        <f>I13/E13*100</f>
        <v>96.749922910884976</v>
      </c>
      <c r="K13" s="15" t="s">
        <v>94</v>
      </c>
      <c r="L13" s="23" t="s">
        <v>102</v>
      </c>
      <c r="M13" s="22" t="s">
        <v>111</v>
      </c>
      <c r="N13" s="55">
        <v>16016</v>
      </c>
      <c r="O13" s="24">
        <f>+E13/N13*100</f>
        <v>101.2425074925075</v>
      </c>
      <c r="P13" s="30">
        <v>13043</v>
      </c>
      <c r="Q13" s="25">
        <f>+F13/P13*100</f>
        <v>100.26067622479491</v>
      </c>
      <c r="R13" s="25">
        <f>B13/N13*100</f>
        <v>39.847652347652343</v>
      </c>
      <c r="S13" s="26" t="s">
        <v>76</v>
      </c>
      <c r="T13" s="27" t="s">
        <v>72</v>
      </c>
      <c r="U13" s="52"/>
    </row>
    <row r="14" spans="1:21" x14ac:dyDescent="0.45">
      <c r="A14" s="16" t="s">
        <v>41</v>
      </c>
      <c r="B14" s="15">
        <v>35973</v>
      </c>
      <c r="C14" s="17">
        <v>35973</v>
      </c>
      <c r="D14" s="14">
        <f t="shared" si="0"/>
        <v>100</v>
      </c>
      <c r="E14" s="17">
        <v>21717</v>
      </c>
      <c r="F14" s="17">
        <v>21715</v>
      </c>
      <c r="G14" s="15">
        <v>2</v>
      </c>
      <c r="H14" s="17">
        <f t="shared" si="1"/>
        <v>0</v>
      </c>
      <c r="I14" s="17">
        <v>21717</v>
      </c>
      <c r="J14" s="17">
        <f>I14/E14*100</f>
        <v>100</v>
      </c>
      <c r="K14" s="15" t="s">
        <v>92</v>
      </c>
      <c r="L14" s="23" t="s">
        <v>100</v>
      </c>
      <c r="M14" s="22">
        <v>2024</v>
      </c>
      <c r="N14" s="54">
        <f>19373+8462+5108</f>
        <v>32943</v>
      </c>
      <c r="O14" s="31">
        <f>+E14/N14*100</f>
        <v>65.922957836262626</v>
      </c>
      <c r="P14" s="25">
        <v>22107</v>
      </c>
      <c r="Q14" s="25">
        <f>+F14/P14*100</f>
        <v>98.226805989053247</v>
      </c>
      <c r="R14" s="25">
        <f>B14/N14*100</f>
        <v>109.19770512703761</v>
      </c>
      <c r="S14" s="26">
        <v>2025</v>
      </c>
      <c r="T14" s="27" t="s">
        <v>84</v>
      </c>
      <c r="U14" s="52">
        <v>22.9</v>
      </c>
    </row>
    <row r="15" spans="1:21" x14ac:dyDescent="0.45">
      <c r="A15" s="16" t="s">
        <v>43</v>
      </c>
      <c r="B15" s="15">
        <v>874</v>
      </c>
      <c r="C15" s="15">
        <v>874</v>
      </c>
      <c r="D15" s="14">
        <f t="shared" si="0"/>
        <v>100</v>
      </c>
      <c r="E15" s="15">
        <v>546</v>
      </c>
      <c r="F15" s="18">
        <v>546</v>
      </c>
      <c r="G15" s="15">
        <v>0</v>
      </c>
      <c r="H15" s="17">
        <f t="shared" si="1"/>
        <v>0</v>
      </c>
      <c r="I15" s="15">
        <v>545</v>
      </c>
      <c r="J15" s="17">
        <f>I15/E15*100</f>
        <v>99.81684981684981</v>
      </c>
      <c r="K15" s="15" t="s">
        <v>92</v>
      </c>
      <c r="L15" s="23" t="s">
        <v>103</v>
      </c>
      <c r="M15" s="22">
        <v>2022</v>
      </c>
      <c r="N15" s="57">
        <v>591</v>
      </c>
      <c r="O15" s="32">
        <f>+E15/N15*100</f>
        <v>92.385786802030452</v>
      </c>
      <c r="P15" s="33"/>
      <c r="Q15" s="25"/>
      <c r="R15" s="25"/>
      <c r="S15" s="26"/>
      <c r="T15" s="27"/>
      <c r="U15" s="52"/>
    </row>
    <row r="16" spans="1:21" x14ac:dyDescent="0.45">
      <c r="A16" s="16" t="s">
        <v>45</v>
      </c>
      <c r="B16" s="15">
        <v>16955</v>
      </c>
      <c r="C16" s="17">
        <v>16234</v>
      </c>
      <c r="D16" s="14">
        <f t="shared" si="0"/>
        <v>95.747567089354163</v>
      </c>
      <c r="E16" s="17">
        <f>10225+981+432</f>
        <v>11638</v>
      </c>
      <c r="F16" s="17">
        <f>10225+981+432</f>
        <v>11638</v>
      </c>
      <c r="G16" s="15">
        <v>0</v>
      </c>
      <c r="H16" s="17">
        <f t="shared" si="1"/>
        <v>0</v>
      </c>
      <c r="I16" s="17">
        <v>16336</v>
      </c>
      <c r="J16" s="17">
        <f>I16/E16*100</f>
        <v>140.3677607836398</v>
      </c>
      <c r="K16" s="15" t="s">
        <v>92</v>
      </c>
      <c r="L16" s="23" t="s">
        <v>100</v>
      </c>
      <c r="M16" s="22">
        <v>2020</v>
      </c>
      <c r="N16" s="54">
        <v>17428</v>
      </c>
      <c r="O16" s="24">
        <f>+E16/N16*100</f>
        <v>66.777599265549696</v>
      </c>
      <c r="P16" s="25"/>
      <c r="Q16" s="25"/>
      <c r="R16" s="25"/>
      <c r="S16" s="26"/>
      <c r="T16" s="27"/>
      <c r="U16" s="52">
        <v>14.299999999999997</v>
      </c>
    </row>
    <row r="17" spans="1:21" x14ac:dyDescent="0.45">
      <c r="A17" s="16" t="s">
        <v>49</v>
      </c>
      <c r="B17" s="15">
        <v>955</v>
      </c>
      <c r="C17" s="15">
        <v>953</v>
      </c>
      <c r="D17" s="14">
        <f t="shared" si="0"/>
        <v>99.790575916230367</v>
      </c>
      <c r="E17" s="15">
        <v>914</v>
      </c>
      <c r="F17" s="21"/>
      <c r="G17" s="20"/>
      <c r="H17" s="17"/>
      <c r="I17" s="15">
        <v>912</v>
      </c>
      <c r="J17" s="17">
        <f>I17/E17*100</f>
        <v>99.781181619256017</v>
      </c>
      <c r="K17" s="15" t="s">
        <v>94</v>
      </c>
      <c r="L17" s="23" t="s">
        <v>98</v>
      </c>
      <c r="M17" s="22">
        <v>2023</v>
      </c>
      <c r="N17" s="57">
        <v>916</v>
      </c>
      <c r="O17" s="35">
        <f>+E17/N17*100</f>
        <v>99.78165938864629</v>
      </c>
      <c r="P17" s="33">
        <f>+N17-83</f>
        <v>833</v>
      </c>
      <c r="Q17" s="25">
        <f>+F17/P17*100</f>
        <v>0</v>
      </c>
      <c r="R17" s="25">
        <f>B17/N17*100</f>
        <v>104.25764192139737</v>
      </c>
      <c r="S17" s="26">
        <v>2019</v>
      </c>
      <c r="T17" s="27" t="s">
        <v>85</v>
      </c>
      <c r="U17" s="52"/>
    </row>
    <row r="18" spans="1:21" x14ac:dyDescent="0.45">
      <c r="A18" s="16" t="s">
        <v>51</v>
      </c>
      <c r="B18" s="15">
        <v>205848</v>
      </c>
      <c r="C18" s="17">
        <v>205848</v>
      </c>
      <c r="D18" s="14">
        <f t="shared" si="0"/>
        <v>100</v>
      </c>
      <c r="E18" s="17">
        <v>156830</v>
      </c>
      <c r="F18" s="17">
        <v>135831</v>
      </c>
      <c r="G18" s="17">
        <v>20999</v>
      </c>
      <c r="H18" s="17">
        <f t="shared" si="1"/>
        <v>0</v>
      </c>
      <c r="I18" s="17">
        <v>156830</v>
      </c>
      <c r="J18" s="17">
        <f>I18/E18*100</f>
        <v>100</v>
      </c>
      <c r="K18" s="15" t="s">
        <v>92</v>
      </c>
      <c r="L18" s="23" t="s">
        <v>100</v>
      </c>
      <c r="M18" s="22" t="s">
        <v>111</v>
      </c>
      <c r="N18" s="55">
        <f>96449+42246+20717</f>
        <v>159412</v>
      </c>
      <c r="O18" s="24">
        <f>+E18/N18*100</f>
        <v>98.380297593656678</v>
      </c>
      <c r="P18" s="25">
        <f>87260+36530+14375</f>
        <v>138165</v>
      </c>
      <c r="Q18" s="25">
        <f>+F18/P18*100</f>
        <v>98.310715448919765</v>
      </c>
      <c r="R18" s="25">
        <f>B18/N18*100</f>
        <v>129.12955110029358</v>
      </c>
      <c r="S18" s="36" t="s">
        <v>111</v>
      </c>
      <c r="T18" s="27" t="s">
        <v>114</v>
      </c>
      <c r="U18" s="52">
        <v>13.900000000000006</v>
      </c>
    </row>
    <row r="19" spans="1:21" x14ac:dyDescent="0.45">
      <c r="A19" s="16" t="s">
        <v>53</v>
      </c>
      <c r="B19" s="15">
        <v>3132</v>
      </c>
      <c r="C19" s="17">
        <v>3107</v>
      </c>
      <c r="D19" s="14">
        <f t="shared" si="0"/>
        <v>99.201787994891447</v>
      </c>
      <c r="E19" s="17">
        <v>3615</v>
      </c>
      <c r="F19" s="17">
        <v>3090</v>
      </c>
      <c r="G19" s="15">
        <v>525</v>
      </c>
      <c r="H19" s="17">
        <f t="shared" si="1"/>
        <v>0</v>
      </c>
      <c r="I19" s="17">
        <v>3068</v>
      </c>
      <c r="J19" s="17">
        <f>I19/E19*100</f>
        <v>84.868603042876899</v>
      </c>
      <c r="K19" s="15" t="s">
        <v>94</v>
      </c>
      <c r="L19" s="23" t="s">
        <v>104</v>
      </c>
      <c r="M19" s="22">
        <v>2024</v>
      </c>
      <c r="N19" s="54">
        <v>3615</v>
      </c>
      <c r="O19" s="37">
        <f>+E19/N19*100</f>
        <v>100</v>
      </c>
      <c r="P19" s="25">
        <v>3090</v>
      </c>
      <c r="Q19" s="25">
        <f>+F19/P19*100</f>
        <v>100</v>
      </c>
      <c r="R19" s="25">
        <f>B19/N19*100</f>
        <v>86.639004149377598</v>
      </c>
      <c r="S19" s="26"/>
      <c r="T19" s="27"/>
      <c r="U19" s="52">
        <v>16</v>
      </c>
    </row>
    <row r="20" spans="1:21" x14ac:dyDescent="0.45">
      <c r="A20" s="16" t="s">
        <v>55</v>
      </c>
      <c r="B20" s="15">
        <v>69142</v>
      </c>
      <c r="C20" s="17">
        <v>69142</v>
      </c>
      <c r="D20" s="14">
        <f t="shared" si="0"/>
        <v>100</v>
      </c>
      <c r="E20" s="17">
        <v>53342</v>
      </c>
      <c r="F20" s="17">
        <v>40153</v>
      </c>
      <c r="G20" s="17">
        <v>13189</v>
      </c>
      <c r="H20" s="17">
        <f t="shared" si="1"/>
        <v>0</v>
      </c>
      <c r="I20" s="17">
        <v>53342</v>
      </c>
      <c r="J20" s="17">
        <f>I20/E20*100</f>
        <v>100</v>
      </c>
      <c r="K20" s="15" t="s">
        <v>92</v>
      </c>
      <c r="L20" s="23" t="s">
        <v>101</v>
      </c>
      <c r="M20" s="22">
        <v>2024</v>
      </c>
      <c r="N20" s="54">
        <f>38338+15700</f>
        <v>54038</v>
      </c>
      <c r="O20" s="24">
        <f>+E20/N20*100</f>
        <v>98.712017469188353</v>
      </c>
      <c r="P20" s="25">
        <f>30021+10468</f>
        <v>40489</v>
      </c>
      <c r="Q20" s="25">
        <f>+F20/P20*100</f>
        <v>99.170144977648249</v>
      </c>
      <c r="R20" s="25">
        <f>B20/N20*100</f>
        <v>127.95070135830342</v>
      </c>
      <c r="S20" s="26">
        <v>2025</v>
      </c>
      <c r="T20" s="27" t="s">
        <v>83</v>
      </c>
      <c r="U20" s="52">
        <v>28.900000000000006</v>
      </c>
    </row>
    <row r="21" spans="1:21" x14ac:dyDescent="0.45">
      <c r="A21" s="16" t="s">
        <v>57</v>
      </c>
      <c r="B21" s="15">
        <v>8162</v>
      </c>
      <c r="C21" s="17">
        <v>7900</v>
      </c>
      <c r="D21" s="14">
        <f t="shared" si="0"/>
        <v>96.790002450379802</v>
      </c>
      <c r="E21" s="17">
        <v>7628</v>
      </c>
      <c r="F21" s="17">
        <v>7047</v>
      </c>
      <c r="G21" s="15">
        <v>581</v>
      </c>
      <c r="H21" s="17">
        <f t="shared" si="1"/>
        <v>0</v>
      </c>
      <c r="I21" s="17">
        <v>7275</v>
      </c>
      <c r="J21" s="17">
        <f>I21/E21*100</f>
        <v>95.372312532773989</v>
      </c>
      <c r="K21" s="15" t="s">
        <v>94</v>
      </c>
      <c r="L21" s="23" t="s">
        <v>105</v>
      </c>
      <c r="M21" s="22">
        <v>2023</v>
      </c>
      <c r="N21" s="54">
        <v>8847</v>
      </c>
      <c r="O21" s="34">
        <f>+E21/N21*100</f>
        <v>86.221317960890701</v>
      </c>
      <c r="P21" s="25"/>
      <c r="Q21" s="25"/>
      <c r="R21" s="25">
        <f>B21/N21*100</f>
        <v>92.257262348818813</v>
      </c>
      <c r="S21" s="26"/>
      <c r="T21" s="27"/>
      <c r="U21" s="52">
        <v>25.900000000000006</v>
      </c>
    </row>
    <row r="22" spans="1:21" x14ac:dyDescent="0.45">
      <c r="A22" s="16" t="s">
        <v>59</v>
      </c>
      <c r="B22" s="15">
        <v>5160</v>
      </c>
      <c r="C22" s="17">
        <v>5093</v>
      </c>
      <c r="D22" s="14">
        <f t="shared" si="0"/>
        <v>98.70155038759691</v>
      </c>
      <c r="E22" s="17">
        <v>5763</v>
      </c>
      <c r="F22" s="17">
        <v>4880</v>
      </c>
      <c r="G22" s="15">
        <v>883</v>
      </c>
      <c r="H22" s="17">
        <f t="shared" si="1"/>
        <v>0</v>
      </c>
      <c r="I22" s="17">
        <v>5637</v>
      </c>
      <c r="J22" s="17">
        <f>I22/E22*100</f>
        <v>97.813638729828213</v>
      </c>
      <c r="K22" s="15" t="s">
        <v>92</v>
      </c>
      <c r="L22" s="23" t="s">
        <v>100</v>
      </c>
      <c r="M22" s="22">
        <v>2024</v>
      </c>
      <c r="N22" s="54">
        <v>5885</v>
      </c>
      <c r="O22" s="24">
        <f>+E22/N22*100</f>
        <v>97.926932880203907</v>
      </c>
      <c r="P22" s="25">
        <v>5161</v>
      </c>
      <c r="Q22" s="25">
        <f>+F22/P22*100</f>
        <v>94.555318736678942</v>
      </c>
      <c r="R22" s="25">
        <f>B22/N22*100</f>
        <v>87.680543755310111</v>
      </c>
      <c r="S22" s="26">
        <v>2024</v>
      </c>
      <c r="T22" s="27" t="s">
        <v>73</v>
      </c>
      <c r="U22" s="52">
        <v>21.799999999999997</v>
      </c>
    </row>
    <row r="23" spans="1:21" x14ac:dyDescent="0.45">
      <c r="A23" s="16" t="s">
        <v>61</v>
      </c>
      <c r="B23" s="15">
        <v>547</v>
      </c>
      <c r="C23" s="15">
        <v>547</v>
      </c>
      <c r="D23" s="14">
        <f t="shared" si="0"/>
        <v>100</v>
      </c>
      <c r="E23" s="15">
        <v>572</v>
      </c>
      <c r="F23" s="15">
        <v>567</v>
      </c>
      <c r="G23" s="15">
        <v>5</v>
      </c>
      <c r="H23" s="17">
        <f t="shared" si="1"/>
        <v>0</v>
      </c>
      <c r="I23" s="15">
        <v>572</v>
      </c>
      <c r="J23" s="17">
        <f>I23/E23*100</f>
        <v>100</v>
      </c>
      <c r="K23" s="15" t="s">
        <v>92</v>
      </c>
      <c r="L23" s="23" t="s">
        <v>105</v>
      </c>
      <c r="M23" s="22">
        <v>2024</v>
      </c>
      <c r="N23" s="58">
        <v>597</v>
      </c>
      <c r="O23" s="38">
        <f>+E23/N23*100</f>
        <v>95.812395309882746</v>
      </c>
      <c r="P23" s="25"/>
      <c r="Q23" s="25"/>
      <c r="R23" s="25">
        <f>B23/N23*100</f>
        <v>91.624790619765491</v>
      </c>
      <c r="S23" s="26"/>
      <c r="T23" s="27" t="s">
        <v>74</v>
      </c>
      <c r="U23" s="52">
        <v>20.200000000000003</v>
      </c>
    </row>
    <row r="24" spans="1:21" ht="14.65" thickBot="1" x14ac:dyDescent="0.5">
      <c r="A24" s="16" t="s">
        <v>64</v>
      </c>
      <c r="B24" s="15">
        <v>2597</v>
      </c>
      <c r="C24" s="17">
        <v>2597</v>
      </c>
      <c r="D24" s="14">
        <f t="shared" si="0"/>
        <v>100</v>
      </c>
      <c r="E24" s="17">
        <v>2611</v>
      </c>
      <c r="F24" s="19">
        <v>2611</v>
      </c>
      <c r="G24" s="15">
        <v>0</v>
      </c>
      <c r="H24" s="17">
        <f t="shared" si="1"/>
        <v>0</v>
      </c>
      <c r="I24" s="17">
        <v>2611</v>
      </c>
      <c r="J24" s="17">
        <f>I24/E24*100</f>
        <v>100</v>
      </c>
      <c r="K24" s="15" t="s">
        <v>92</v>
      </c>
      <c r="L24" s="23" t="s">
        <v>106</v>
      </c>
      <c r="M24" s="22">
        <v>2024</v>
      </c>
      <c r="N24" s="59">
        <f>2261+309+350+217</f>
        <v>3137</v>
      </c>
      <c r="O24" s="43">
        <f>+E24/N24*100</f>
        <v>83.232387631495058</v>
      </c>
      <c r="P24" s="44">
        <f>2261+309</f>
        <v>2570</v>
      </c>
      <c r="Q24" s="45">
        <f>+F24/P24*100</f>
        <v>101.59533073929961</v>
      </c>
      <c r="R24" s="45">
        <f>B24/N24*100</f>
        <v>82.786101370736375</v>
      </c>
      <c r="S24" s="46">
        <v>2024</v>
      </c>
      <c r="T24" s="47" t="s">
        <v>75</v>
      </c>
      <c r="U24" s="52">
        <v>20.599999999999994</v>
      </c>
    </row>
    <row r="25" spans="1:21" ht="14.65" thickBot="1" x14ac:dyDescent="0.5">
      <c r="A25" s="61" t="s">
        <v>70</v>
      </c>
      <c r="B25" s="62">
        <f>SUM(B4:B24)</f>
        <v>604089</v>
      </c>
      <c r="C25" s="62">
        <f t="shared" ref="C25:E25" si="2">SUM(C4:C24)</f>
        <v>582870</v>
      </c>
      <c r="D25" s="63">
        <f t="shared" si="0"/>
        <v>96.487438109285222</v>
      </c>
      <c r="E25" s="62">
        <f t="shared" si="2"/>
        <v>532650</v>
      </c>
      <c r="F25" s="64">
        <f>SUM(F4:F24)</f>
        <v>447061</v>
      </c>
      <c r="G25" s="64">
        <f>SUM(G4:G24)</f>
        <v>84675</v>
      </c>
      <c r="H25" s="62"/>
      <c r="I25" s="62">
        <f>SUM(I4:I24)</f>
        <v>504448</v>
      </c>
      <c r="J25" s="64">
        <f>I25/E25*100</f>
        <v>94.705341218436118</v>
      </c>
      <c r="K25" s="62"/>
      <c r="L25" s="62"/>
      <c r="M25" s="65"/>
      <c r="N25" s="60">
        <f>SUM(N4:N24)</f>
        <v>564108</v>
      </c>
      <c r="O25" s="39">
        <f>+E25/N25*100</f>
        <v>94.423408283520175</v>
      </c>
      <c r="P25" s="40"/>
      <c r="Q25" s="40"/>
      <c r="R25" s="40"/>
      <c r="S25" s="41"/>
      <c r="T25" s="42"/>
      <c r="U25" s="53"/>
    </row>
  </sheetData>
  <hyperlinks>
    <hyperlink ref="S18" r:id="rId1" xr:uid="{6C401741-B099-4DF2-9E72-79ED4CB072D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Coverage Assessment</vt:lpstr>
      <vt:lpstr>F-geo</vt:lpstr>
      <vt:lpstr>F-cov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Angela Lopez Sanchez</cp:lastModifiedBy>
  <dcterms:created xsi:type="dcterms:W3CDTF">2026-03-19T20:41:51Z</dcterms:created>
  <dcterms:modified xsi:type="dcterms:W3CDTF">2026-04-04T14:46:15Z</dcterms:modified>
</cp:coreProperties>
</file>